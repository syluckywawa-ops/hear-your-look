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2c6546a1a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汇总" sheetId="1" r:id="R9570a4ab51a041a6"/>
    <x:sheet xmlns:r="http://schemas.openxmlformats.org/officeDocument/2006/relationships" name="30张测试记录" sheetId="2" r:id="R365b827922a049d0"/>
    <x:sheet xmlns:r="http://schemas.openxmlformats.org/officeDocument/2006/relationships" name="使用说明" sheetId="3" r:id="Rc5559d3e2cac44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%"/>
  </x:numFmts>
  <x:fonts count="9">
    <x:font>
      <x:sz val="11"/>
      <x:name val="Carlito"/>
    </x:font>
    <x:font>
      <x:sz val="10"/>
      <x:color rgb="FF202124"/>
      <x:name val="Arial"/>
    </x:font>
    <x:font>
      <x:b/>
      <x:sz val="18"/>
      <x:color rgb="FF172026"/>
      <x:name val="Arial"/>
    </x:font>
    <x:font>
      <x:i/>
      <x:sz val="10"/>
      <x:color rgb="FF5F6368"/>
      <x:name val="Arial"/>
    </x:font>
    <x:font>
      <x:b/>
      <x:sz val="10"/>
      <x:color rgb="FFFFFFFF"/>
      <x:name val="Arial"/>
    </x:font>
    <x:font>
      <x:b/>
      <x:sz val="10"/>
      <x:color rgb="FF172026"/>
      <x:name val="Arial"/>
    </x:font>
    <x:font>
      <x:sz val="10"/>
      <x:color rgb="FF5F6368"/>
      <x:name val="Arial"/>
    </x:font>
    <x:font>
      <x:i/>
      <x:sz val="10"/>
      <x:color rgb="FFA33A2B"/>
      <x:name val="Arial"/>
    </x:font>
    <x:font>
      <x:b/>
      <x:sz val="10"/>
      <x:color rgb="FF8A2D24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2026"/>
      </x:patternFill>
    </x:fill>
    <x:fill>
      <x:patternFill patternType="solid">
        <x:fgColor rgb="FFFFF4CC"/>
      </x:patternFill>
    </x:fill>
    <x:fill>
      <x:patternFill patternType="solid">
        <x:fgColor rgb="FFF4EBDD"/>
      </x:patternFill>
    </x:fill>
    <x:fill>
      <x:patternFill patternType="solid">
        <x:fgColor rgb="FFECEFF1"/>
      </x:patternFill>
    </x:fill>
    <x:fill>
      <x:patternFill patternType="solid">
        <x:fgColor rgb="FFF6F7F8"/>
      </x:patternFill>
    </x:fill>
    <x:fill>
      <x:patternFill patternType="solid">
        <x:fgColor rgb="FF172026"/>
      </x:patternFill>
    </x:fill>
    <x:fill>
      <x:patternFill patternType="solid">
        <x:fgColor rgb="FFFBE9E7"/>
      </x:patternFill>
    </x:fill>
  </x:fills>
  <x:borders count="7">
    <x:border/>
    <x:border>
      <x:left style="thin">
        <x:color rgb="FF172026"/>
      </x:left>
      <x:top style="thin">
        <x:color rgb="FF172026"/>
      </x:top>
      <x:bottom style="thin">
        <x:color rgb="FF172026"/>
      </x:bottom>
    </x:border>
    <x:border>
      <x:top style="thin">
        <x:color rgb="FF172026"/>
      </x:top>
      <x:bottom style="thin">
        <x:color rgb="FF172026"/>
      </x:bottom>
    </x:border>
    <x:border>
      <x:right style="thin">
        <x:color rgb="FF172026"/>
      </x:right>
      <x:top style="thin">
        <x:color rgb="FF172026"/>
      </x:top>
      <x:bottom style="thin">
        <x:color rgb="FF172026"/>
      </x:bottom>
    </x:border>
    <x:border>
      <x:bottom style="thin">
        <x:color rgb="FFD9DDE1"/>
      </x:bottom>
    </x:border>
    <x:border>
      <x:top style="thin">
        <x:color rgb="FFD9DDE1"/>
      </x:top>
      <x:bottom style="thin">
        <x:color rgb="FFD9DDE1"/>
      </x:bottom>
    </x:border>
    <x:border>
      <x:top style="thin">
        <x:color rgb="FFD9DDE1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3" borderId="5" xfId="0" applyNumberFormat="1" applyFont="1" applyFill="1" applyBorder="1" applyAlignment="1">
      <x:alignment vertical="top" wrapText="1"/>
    </x:xf>
    <x:xf numFmtId="200" fontId="1" fillId="3" borderId="6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1" fontId="1" fillId="3" borderId="5" xfId="0" applyNumberFormat="1" applyFont="1" applyFill="1" applyBorder="1" applyAlignment="1">
      <x:alignment vertical="top" wrapText="1"/>
    </x:xf>
    <x:xf numFmtId="201" fontId="1" fillId="3" borderId="6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2" fontId="1" fillId="0" borderId="5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202" fontId="1" fillId="4" borderId="5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/>
    <x:xf numFmtId="0" fontId="1" fillId="4" borderId="6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4" borderId="6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1" fillId="4" borderId="4" xfId="0" applyNumberFormat="1" applyFont="1" applyFill="1" applyBorder="1"/>
    <x:xf numFmtId="201" fontId="1" fillId="4" borderId="5" xfId="0" applyNumberFormat="1" applyFont="1" applyFill="1" applyBorder="1"/>
    <x:xf numFmtId="202" fontId="1" fillId="0" borderId="4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96127"/>
      </x:font>
      <x:fill>
        <x:patternFill>
          <x:bgColor rgb="FFE7F4EA"/>
        </x:patternFill>
      </x:fill>
    </x:dxf>
    <x:dxf>
      <x:font>
        <x:b/>
        <x:color rgb="FFA33A2B"/>
      </x:font>
      <x:fill>
        <x:patternFill>
          <x:bgColor rgb="FFFBE9E7"/>
        </x:patternFill>
      </x:fill>
    </x:dxf>
    <x:dxf>
      <x:font>
        <x:b/>
        <x:color rgb="FFA33A2B"/>
      </x:font>
      <x:fill>
        <x:patternFill>
          <x:bgColor rgb="FFFBE9E7"/>
        </x:patternFill>
      </x:fill>
    </x:dxf>
    <x:dxf>
      <x:font>
        <x:b/>
        <x:color rgb="FF196127"/>
      </x:font>
      <x:fill>
        <x:patternFill patternType="solid">
          <x:bgColor rgb="FFE7F4EA"/>
        </x:patternFill>
      </x:fill>
    </x:dxf>
    <x:dxf>
      <x:font>
        <x:b/>
        <x:color rgb="FFA33A2B"/>
      </x:font>
      <x:fill>
        <x:patternFill patternType="solid">
          <x:bgColor rgb="FFFBE9E7"/>
        </x:patternFill>
      </x:fill>
    </x:dxf>
    <x:dxf>
      <x:font>
        <x:b/>
        <x:color rgb="FF5F6368"/>
      </x:font>
      <x:fill>
        <x:patternFill patternType="solid">
          <x:bgColor rgb="FFECEF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ba41930bb479d" /><Relationship Type="http://schemas.openxmlformats.org/officeDocument/2006/relationships/theme" Target="/xl/theme/theme1.xml" Id="R602a1fe2c09e4773" /><Relationship Type="http://schemas.openxmlformats.org/officeDocument/2006/relationships/sharedStrings" Target="/xl/sharedStrings.xml" Id="Rd9e31734584a4b42" /><Relationship Type="http://schemas.openxmlformats.org/officeDocument/2006/relationships/worksheet" Target="/xl/worksheets/sheet1.xml" Id="R9570a4ab51a041a6" /><Relationship Type="http://schemas.openxmlformats.org/officeDocument/2006/relationships/worksheet" Target="/xl/worksheets/sheet2.xml" Id="R365b827922a049d0" /><Relationship Type="http://schemas.openxmlformats.org/officeDocument/2006/relationships/worksheet" Target="/xl/worksheets/sheet3.xml" Id="Rc5559d3e2cac4404" /></Relationships>
</file>

<file path=xl/tables/table1.xml><?xml version="1.0" encoding="utf-8"?>
<x:table xmlns:x="http://schemas.openxmlformats.org/spreadsheetml/2006/main" id="1" name="LipPhotoTestCases" displayName="LipPhotoTestCases" ref="A4:AA34" headerRowCount="1" totalsRowCount="0" totalsRowShown="0">
  <x:tableColumns count="27">
    <x:tableColumn id="1" name="案例编号"/>
    <x:tableColumn id="2" name="场景类型"/>
    <x:tableColumn id="3" name="图片文件名"/>
    <x:tableColumn id="4" name="图片来源"/>
    <x:tableColumn id="5" name="授权状态"/>
    <x:tableColumn id="6" name="光线条件"/>
    <x:tableColumn id="7" name="清晰度"/>
    <x:tableColumn id="8" name="遮挡情况"/>
    <x:tableColumn id="9" name="嘴唇完整可见"/>
    <x:tableColumn id="10" name="预期判断"/>
    <x:tableColumn id="11" name="预期方位"/>
    <x:tableColumn id="12" name="预期拒判原因"/>
    <x:tableColumn id="13" name="预期语音指引"/>
    <x:tableColumn id="14" name="模型实际判断"/>
    <x:tableColumn id="15" name="模型实际方位"/>
    <x:tableColumn id="16" name="实际拒判原因"/>
    <x:tableColumn id="17" name="实际语音指引"/>
    <x:tableColumn id="18" name="输出语言"/>
    <x:tableColumn id="19" name="模型名称"/>
    <x:tableColumn id="20" name="模型版本"/>
    <x:tableColumn id="21" name="测试时间"/>
    <x:tableColumn id="22" name="响应耗时(ms)"/>
    <x:tableColumn id="23" name="判断结果"/>
    <x:tableColumn id="24" name="方位结果"/>
    <x:tableColumn id="25" name="拒判结果"/>
    <x:tableColumn id="26" name="总结果"/>
    <x:tableColumn id="27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67f957e16f4a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" t="str">
        <x:v>听见妆容 模型测试汇总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3" t="str">
        <x:v>结果来自当前GitHub代码与已登录部署页。原型为预设演示，不读取图片内容。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6" customHeight="1">
      <x:c r="A4" s="53" t="str">
        <x:v>核心指标</x:v>
      </x:c>
      <x:c r="B4" s="53" t="str">
        <x:v>结果</x:v>
      </x:c>
      <x:c r="C4" s="1"/>
      <x:c r="D4" s="79" t="str">
        <x:v>场景类型</x:v>
      </x:c>
      <x:c r="E4" s="79" t="str">
        <x:v>计划数量</x:v>
      </x:c>
      <x:c r="F4" s="79" t="str">
        <x:v>已执行</x:v>
      </x:c>
      <x:c r="G4" s="79" t="str">
        <x:v>通过数量</x:v>
      </x:c>
      <x:c r="H4" s="79" t="str">
        <x:v>无法测试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6" customHeight="1">
      <x:c r="A5" s="54" t="str">
        <x:v>计划案例数</x:v>
      </x:c>
      <x:c r="B5" s="76" t="n">
        <x:f>COUNTA('30张测试记录'!A5:A34)</x:f>
        <x:v>30</x:v>
      </x:c>
      <x:c r="C5" s="1"/>
      <x:c r="D5" s="54" t="str">
        <x:v>清晰正常</x:v>
      </x:c>
      <x:c r="E5" s="54" t="n">
        <x:f>COUNTIF('30张测试记录'!B5:B34,D5)</x:f>
        <x:v>5</x:v>
      </x:c>
      <x:c r="F5" s="54" t="n">
        <x:f>COUNTIFS('30张测试记录'!B5:B34,D5,'30张测试记录'!Z5:Z34,"通过")+COUNTIFS('30张测试记录'!B5:B34,D5,'30张测试记录'!Z5:Z34,"未通过")</x:f>
        <x:v>5</x:v>
      </x:c>
      <x:c r="G5" s="54" t="n">
        <x:f>COUNTIFS('30张测试记录'!B5:B34,D5,'30张测试记录'!Z5:Z34,"通过")</x:f>
        <x:v>5</x:v>
      </x:c>
      <x:c r="H5" s="1" t="n">
        <x:f>COUNTIFS('30张测试记录'!B5:B34,D5,'30张测试记录'!Z5:Z34,"无法测试")</x:f>
        <x:v>0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6" customHeight="1">
      <x:c r="A6" s="55" t="str">
        <x:v>已执行预设分支</x:v>
      </x:c>
      <x:c r="B6" s="77" t="n">
        <x:f>COUNTIF('30张测试记录'!N5:N34,"未见明显外溢")+COUNTIF('30张测试记录'!N5:N34,"检测到外溢")+COUNTIF('30张测试记录'!N5:N34,"无法判断")</x:f>
        <x:v>20</x:v>
      </x:c>
      <x:c r="C6" s="1"/>
      <x:c r="D6" s="55" t="str">
        <x:v>左侧外溢</x:v>
      </x:c>
      <x:c r="E6" s="55" t="n">
        <x:f>COUNTIF('30张测试记录'!B5:B34,D6)</x:f>
        <x:v>5</x:v>
      </x:c>
      <x:c r="F6" s="55" t="n">
        <x:f>COUNTIFS('30张测试记录'!B5:B34,D6,'30张测试记录'!Z5:Z34,"通过")+COUNTIFS('30张测试记录'!B5:B34,D6,'30张测试记录'!Z5:Z34,"未通过")</x:f>
        <x:v>5</x:v>
      </x:c>
      <x:c r="G6" s="55" t="n">
        <x:f>COUNTIFS('30张测试记录'!B5:B34,D6,'30张测试记录'!Z5:Z34,"通过")</x:f>
        <x:v>0</x:v>
      </x:c>
      <x:c r="H6" s="1" t="n">
        <x:f>COUNTIFS('30张测试记录'!B5:B34,D6,'30张测试记录'!Z5:Z34,"无法测试")</x:f>
        <x:v>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26" customHeight="1">
      <x:c r="A7" s="55" t="str">
        <x:v>通过</x:v>
      </x:c>
      <x:c r="B7" s="77" t="n">
        <x:f>COUNTIF('30张测试记录'!Z5:Z34,"通过")</x:f>
        <x:v>15</x:v>
      </x:c>
      <x:c r="C7" s="1"/>
      <x:c r="D7" s="55" t="str">
        <x:v>右侧外溢</x:v>
      </x:c>
      <x:c r="E7" s="55" t="n">
        <x:f>COUNTIF('30张测试记录'!B5:B34,D7)</x:f>
        <x:v>5</x:v>
      </x:c>
      <x:c r="F7" s="55" t="n">
        <x:f>COUNTIFS('30张测试记录'!B5:B34,D7,'30张测试记录'!Z5:Z34,"通过")+COUNTIFS('30张测试记录'!B5:B34,D7,'30张测试记录'!Z5:Z34,"未通过")</x:f>
        <x:v>5</x:v>
      </x:c>
      <x:c r="G7" s="55" t="n">
        <x:f>COUNTIFS('30张测试记录'!B5:B34,D7,'30张测试记录'!Z5:Z34,"通过")</x:f>
        <x:v>5</x:v>
      </x:c>
      <x:c r="H7" s="1" t="n">
        <x:f>COUNTIFS('30张测试记录'!B5:B34,D7,'30张测试记录'!Z5:Z34,"无法测试")</x:f>
        <x:v>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6" customHeight="1">
      <x:c r="A8" s="55" t="str">
        <x:v>无法测试</x:v>
      </x:c>
      <x:c r="B8" s="77" t="n">
        <x:f>COUNTIF('30张测试记录'!Z5:Z34,"无法测试")</x:f>
        <x:v>10</x:v>
      </x:c>
      <x:c r="C8" s="1"/>
      <x:c r="D8" s="55" t="str">
        <x:v>画面模糊</x:v>
      </x:c>
      <x:c r="E8" s="55" t="n">
        <x:f>COUNTIF('30张测试记录'!B5:B34,D8)</x:f>
        <x:v>5</x:v>
      </x:c>
      <x:c r="F8" s="55" t="n">
        <x:f>COUNTIFS('30张测试记录'!B5:B34,D8,'30张测试记录'!Z5:Z34,"通过")+COUNTIFS('30张测试记录'!B5:B34,D8,'30张测试记录'!Z5:Z34,"未通过")</x:f>
        <x:v>0</x:v>
      </x:c>
      <x:c r="G8" s="55" t="n">
        <x:f>COUNTIFS('30张测试记录'!B5:B34,D8,'30张测试记录'!Z5:Z34,"通过")</x:f>
        <x:v>0</x:v>
      </x:c>
      <x:c r="H8" s="1" t="n">
        <x:f>COUNTIFS('30张测试记录'!B5:B34,D8,'30张测试记录'!Z5:Z34,"无法测试")</x:f>
        <x:v>5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26" customHeight="1">
      <x:c r="A9" s="55" t="str">
        <x:v>分支符合率</x:v>
      </x:c>
      <x:c r="B9" s="59" t="n">
        <x:f>IF(B6=0,"",B7/B6)</x:f>
        <x:v>0.75</x:v>
      </x:c>
      <x:c r="C9" s="1"/>
      <x:c r="D9" s="55" t="str">
        <x:v>光线不足</x:v>
      </x:c>
      <x:c r="E9" s="55" t="n">
        <x:f>COUNTIF('30张测试记录'!B5:B34,D9)</x:f>
        <x:v>5</x:v>
      </x:c>
      <x:c r="F9" s="55" t="n">
        <x:f>COUNTIFS('30张测试记录'!B5:B34,D9,'30张测试记录'!Z5:Z34,"通过")+COUNTIFS('30张测试记录'!B5:B34,D9,'30张测试记录'!Z5:Z34,"未通过")</x:f>
        <x:v>5</x:v>
      </x:c>
      <x:c r="G9" s="55" t="n">
        <x:f>COUNTIFS('30张测试记录'!B5:B34,D9,'30张测试记录'!Z5:Z34,"通过")</x:f>
        <x:v>5</x:v>
      </x:c>
      <x:c r="H9" s="1" t="n">
        <x:f>COUNTIFS('30张测试记录'!B5:B34,D9,'30张测试记录'!Z5:Z34,"无法测试")</x:f>
        <x:v>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26" customHeight="1">
      <x:c r="A10" s="55" t="str">
        <x:v>判断一致率</x:v>
      </x:c>
      <x:c r="B10" s="59" t="n">
        <x:f>IF(B6=0,"",COUNTIF('30张测试记录'!W5:W34,"正确")/B6)</x:f>
        <x:v>1</x:v>
      </x:c>
      <x:c r="C10" s="1"/>
      <x:c r="D10" s="55" t="str">
        <x:v>嘴部遮挡</x:v>
      </x:c>
      <x:c r="E10" s="55" t="n">
        <x:f>COUNTIF('30张测试记录'!B5:B34,D10)</x:f>
        <x:v>5</x:v>
      </x:c>
      <x:c r="F10" s="55" t="n">
        <x:f>COUNTIFS('30张测试记录'!B5:B34,D10,'30张测试记录'!Z5:Z34,"通过")+COUNTIFS('30张测试记录'!B5:B34,D10,'30张测试记录'!Z5:Z34,"未通过")</x:f>
        <x:v>0</x:v>
      </x:c>
      <x:c r="G10" s="55" t="n">
        <x:f>COUNTIFS('30张测试记录'!B5:B34,D10,'30张测试记录'!Z5:Z34,"通过")</x:f>
        <x:v>0</x:v>
      </x:c>
      <x:c r="H10" s="1" t="n">
        <x:f>COUNTIFS('30张测试记录'!B5:B34,D10,'30张测试记录'!Z5:Z34,"无法测试")</x:f>
        <x:v>5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26" customHeight="1">
      <x:c r="A11" s="55" t="str">
        <x:v>左右定位一致率</x:v>
      </x:c>
      <x:c r="B11" s="59" t="n">
        <x:f>IF(COUNTIF('30张测试记录'!X5:X34,"正确")+COUNTIF('30张测试记录'!X5:X34,"错误")=0,"",COUNTIF('30张测试记录'!X5:X34,"正确")/(COUNTIF('30张测试记录'!X5:X34,"正确")+COUNTIF('30张测试记录'!X5:X34,"错误")))</x:f>
        <x:v>0.5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4" t="str">
        <x:v>拒判原因一致率</x:v>
      </x:c>
      <x:c r="B12" s="78" t="n">
        <x:f>IF(COUNTIF('30张测试记录'!Y5:Y34,"正确")+COUNTIF('30张测试记录'!Y5:Y34,"错误")=0,"",COUNTIF('30张测试记录'!Y5:Y34,"正确")/(COUNTIF('30张测试记录'!Y5:Y34,"正确")+COUNTIF('30张测试记录'!Y5:Y34,"错误")))</x:f>
        <x:v>1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2" customHeight="1">
      <x:c r="A13"/>
      <x:c r="B13"/>
      <x:c r="C13"/>
      <x:c r="D13"/>
      <x:c r="E13"/>
      <x:c r="F13"/>
      <x:c r="G13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50" customHeight="1">
      <x:c r="A14" s="86" t="str">
        <x:v>结论：当前原型完成的是预设交互流程，不是图像识别模型。15/20个可执行预设行符合标准；10个模糊/遮挡案例无法测试。重复行来自同一预设分支，不代表独立图片样本。</x:v>
      </x:c>
      <x:c r="B14" s="86"/>
      <x:c r="C14" s="86"/>
      <x:c r="D14" s="86"/>
      <x:c r="E14" s="86"/>
      <x:c r="F14" s="86"/>
      <x:c r="G14" s="86"/>
      <x:c r="H14" s="86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A13:G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5" hidden="0" customWidth="1"/>
    <x:col min="4" max="4" width="16" hidden="0" customWidth="1"/>
    <x:col min="5" max="5" width="12" hidden="0" customWidth="1"/>
    <x:col min="6" max="6" width="10" hidden="0" customWidth="1"/>
    <x:col min="7" max="7" width="10" hidden="0" customWidth="1"/>
    <x:col min="8" max="8" width="16" hidden="0" customWidth="1"/>
    <x:col min="9" max="9" width="14" hidden="0" customWidth="1"/>
    <x:col min="10" max="10" width="18" hidden="0" customWidth="1"/>
    <x:col min="11" max="11" width="13" hidden="0" customWidth="1"/>
    <x:col min="12" max="12" width="16" hidden="0" customWidth="1"/>
    <x:col min="13" max="13" width="36" hidden="0" customWidth="1"/>
    <x:col min="14" max="14" width="18" hidden="0" customWidth="1"/>
    <x:col min="15" max="15" width="14" hidden="0" customWidth="1"/>
    <x:col min="16" max="16" width="16" hidden="0" customWidth="1"/>
    <x:col min="17" max="17" width="36" hidden="0" customWidth="1"/>
    <x:col min="18" max="18" width="12" hidden="0" customWidth="1"/>
    <x:col min="19" max="19" width="25" hidden="0" customWidth="1"/>
    <x:col min="20" max="20" width="16" hidden="0" customWidth="1"/>
    <x:col min="21" max="21" width="19" hidden="0" customWidth="1"/>
    <x:col min="22" max="22" width="15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24" hidden="0" customWidth="1"/>
  </x:cols>
  <x:sheetData>
    <x:row r="1">
      <x:c r="A1" s="2" t="str">
        <x:v>听见妆容 30张图片标准测试表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75" t="str">
        <x:v>当前GitHub与部署页原型验证。30行已填写；结果反映预设流程覆盖，不代表Gemini视觉准确率。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8" customHeight="1">
      <x:c r="A4" s="16" t="str">
        <x:v>案例编号</x:v>
      </x:c>
      <x:c r="B4" s="17" t="str">
        <x:v>场景类型</x:v>
      </x:c>
      <x:c r="C4" s="17" t="str">
        <x:v>图片文件名</x:v>
      </x:c>
      <x:c r="D4" s="17" t="str">
        <x:v>图片来源</x:v>
      </x:c>
      <x:c r="E4" s="17" t="str">
        <x:v>授权状态</x:v>
      </x:c>
      <x:c r="F4" s="17" t="str">
        <x:v>光线条件</x:v>
      </x:c>
      <x:c r="G4" s="17" t="str">
        <x:v>清晰度</x:v>
      </x:c>
      <x:c r="H4" s="17" t="str">
        <x:v>遮挡情况</x:v>
      </x:c>
      <x:c r="I4" s="17" t="str">
        <x:v>嘴唇完整可见</x:v>
      </x:c>
      <x:c r="J4" s="17" t="str">
        <x:v>预期判断</x:v>
      </x:c>
      <x:c r="K4" s="17" t="str">
        <x:v>预期方位</x:v>
      </x:c>
      <x:c r="L4" s="17" t="str">
        <x:v>预期拒判原因</x:v>
      </x:c>
      <x:c r="M4" s="17" t="str">
        <x:v>预期语音指引</x:v>
      </x:c>
      <x:c r="N4" s="17" t="str">
        <x:v>模型实际判断</x:v>
      </x:c>
      <x:c r="O4" s="17" t="str">
        <x:v>模型实际方位</x:v>
      </x:c>
      <x:c r="P4" s="17" t="str">
        <x:v>实际拒判原因</x:v>
      </x:c>
      <x:c r="Q4" s="17" t="str">
        <x:v>实际语音指引</x:v>
      </x:c>
      <x:c r="R4" s="17" t="str">
        <x:v>输出语言</x:v>
      </x:c>
      <x:c r="S4" s="17" t="str">
        <x:v>模型名称</x:v>
      </x:c>
      <x:c r="T4" s="17" t="str">
        <x:v>模型版本</x:v>
      </x:c>
      <x:c r="U4" s="17" t="str">
        <x:v>测试时间</x:v>
      </x:c>
      <x:c r="V4" s="17" t="str">
        <x:v>响应耗时(ms)</x:v>
      </x:c>
      <x:c r="W4" s="17" t="str">
        <x:v>判断结果</x:v>
      </x:c>
      <x:c r="X4" s="17" t="str">
        <x:v>方位结果</x:v>
      </x:c>
      <x:c r="Y4" s="17" t="str">
        <x:v>拒判结果</x:v>
      </x:c>
      <x:c r="Z4" s="17" t="str">
        <x:v>总结果</x:v>
      </x:c>
      <x:c r="AA4" s="18" t="str">
        <x:v>备注</x:v>
      </x:c>
    </x:row>
    <x:row r="5" ht="34" customHeight="1">
      <x:c r="A5" s="36" t="str">
        <x:v>HYL-001</x:v>
      </x:c>
      <x:c r="B5" s="27" t="str">
        <x:v>清晰正常</x:v>
      </x:c>
      <x:c r="C5" s="28" t="str">
        <x:v>HYL-001_normal.jpg</x:v>
      </x:c>
      <x:c r="D5" s="28" t="str">
        <x:v>未提供图片；预设流程验证</x:v>
      </x:c>
      <x:c r="E5" s="28" t="str">
        <x:v>不适用</x:v>
      </x:c>
      <x:c r="F5" s="27" t="str">
        <x:v>正常</x:v>
      </x:c>
      <x:c r="G5" s="27" t="str">
        <x:v>清晰</x:v>
      </x:c>
      <x:c r="H5" s="27" t="str">
        <x:v>无遮挡</x:v>
      </x:c>
      <x:c r="I5" s="27" t="str">
        <x:v>是</x:v>
      </x:c>
      <x:c r="J5" s="39" t="str">
        <x:v>未见明显外溢</x:v>
      </x:c>
      <x:c r="K5" s="39" t="str">
        <x:v>不适用</x:v>
      </x:c>
      <x:c r="L5" s="39" t="str">
        <x:v>不适用</x:v>
      </x:c>
      <x:c r="M5" s="39" t="str">
        <x:v>未见明显外溢，可以结束检查。</x:v>
      </x:c>
      <x:c r="N5" s="28" t="str">
        <x:v>未见明显外溢</x:v>
      </x:c>
      <x:c r="O5" s="28" t="str">
        <x:v>不适用</x:v>
      </x:c>
      <x:c r="P5" s="28" t="str">
        <x:v>不适用</x:v>
      </x:c>
      <x:c r="Q5" s="28" t="str">
        <x:v>这是预设的“未见明显问题”结果。真实产品仍需接入视觉检测。</x:v>
      </x:c>
      <x:c r="R5" s="28" t="str">
        <x:v>中文</x:v>
      </x:c>
      <x:c r="S5" s="28" t="str">
        <x:v>预设适配器（无AI）</x:v>
      </x:c>
      <x:c r="T5" s="28" t="str">
        <x:v>部署页与beauty-accessibility-upgrade@fb12690</x:v>
      </x:c>
      <x:c r="U5" s="45" t="n">
        <x:v>46302.479166666664</x:v>
      </x:c>
      <x:c r="V5" s="48" t="n">
        <x:v>900</x:v>
      </x:c>
      <x:c r="W5" s="42" t="str">
        <x:f>IF(N5="无法测试","无法测试",IF(N5="","待填写",IF(N5=J5,"正确","错误")))</x:f>
        <x:v>正确</x:v>
      </x:c>
      <x:c r="X5" s="42" t="str">
        <x:f>IF(N5="无法测试","无法测试",IF(N5="","待填写",IF(J5&lt;&gt;"检测到外溢","不适用",IF(AND(N5="检测到外溢",O5=K5),"正确","错误"))))</x:f>
        <x:v>不适用</x:v>
      </x:c>
      <x:c r="Y5" s="42" t="str">
        <x:f>IF(N5="无法测试","无法测试",IF(N5="","待填写",IF(J5&lt;&gt;"无法判断","不适用",IF(AND(N5="无法判断",P5=L5),"正确","错误"))))</x:f>
        <x:v>不适用</x:v>
      </x:c>
      <x:c r="Z5" s="42" t="str">
        <x:f>IF(N5="无法测试","无法测试",IF(N5="","待填写",IF(AND(W5="正确",OR(X5="正确",X5="不适用"),OR(Y5="正确",Y5="不适用"),R5="中文"),"通过","未通过")))</x:f>
        <x:v>通过</x:v>
      </x:c>
      <x:c r="AA5" s="29" t="str">
        <x:v>部署页实测清晰分支；代码不读取图片内容，900ms为固定模拟等待。</x:v>
      </x:c>
    </x:row>
    <x:row r="6" ht="34" customHeight="1">
      <x:c r="A6" s="37" t="str">
        <x:v>HYL-002</x:v>
      </x:c>
      <x:c r="B6" s="30" t="str">
        <x:v>清晰正常</x:v>
      </x:c>
      <x:c r="C6" s="31" t="str">
        <x:v>HYL-002_normal.jpg</x:v>
      </x:c>
      <x:c r="D6" s="31" t="str">
        <x:v>未提供图片；预设流程验证</x:v>
      </x:c>
      <x:c r="E6" s="31" t="str">
        <x:v>不适用</x:v>
      </x:c>
      <x:c r="F6" s="30" t="str">
        <x:v>正常</x:v>
      </x:c>
      <x:c r="G6" s="30" t="str">
        <x:v>清晰</x:v>
      </x:c>
      <x:c r="H6" s="30" t="str">
        <x:v>无遮挡</x:v>
      </x:c>
      <x:c r="I6" s="30" t="str">
        <x:v>是</x:v>
      </x:c>
      <x:c r="J6" s="40" t="str">
        <x:v>未见明显外溢</x:v>
      </x:c>
      <x:c r="K6" s="40" t="str">
        <x:v>不适用</x:v>
      </x:c>
      <x:c r="L6" s="40" t="str">
        <x:v>不适用</x:v>
      </x:c>
      <x:c r="M6" s="40" t="str">
        <x:v>未见明显外溢，可以结束检查。</x:v>
      </x:c>
      <x:c r="N6" s="31" t="str">
        <x:v>未见明显外溢</x:v>
      </x:c>
      <x:c r="O6" s="31" t="str">
        <x:v>不适用</x:v>
      </x:c>
      <x:c r="P6" s="31" t="str">
        <x:v>不适用</x:v>
      </x:c>
      <x:c r="Q6" s="31" t="str">
        <x:v>这是预设的“未见明显问题”结果。真实产品仍需接入视觉检测。</x:v>
      </x:c>
      <x:c r="R6" s="31" t="str">
        <x:v>中文</x:v>
      </x:c>
      <x:c r="S6" s="31" t="str">
        <x:v>预设适配器（无AI）</x:v>
      </x:c>
      <x:c r="T6" s="31" t="str">
        <x:v>部署页与beauty-accessibility-upgrade@fb12690</x:v>
      </x:c>
      <x:c r="U6" s="46" t="n">
        <x:v>46302.479166666664</x:v>
      </x:c>
      <x:c r="V6" s="49" t="n">
        <x:v>900</x:v>
      </x:c>
      <x:c r="W6" s="43" t="str">
        <x:f>IF(N6="无法测试","无法测试",IF(N6="","待填写",IF(N6=J6,"正确","错误")))</x:f>
        <x:v>正确</x:v>
      </x:c>
      <x:c r="X6" s="43" t="str">
        <x:f>IF(N6="无法测试","无法测试",IF(N6="","待填写",IF(J6&lt;&gt;"检测到外溢","不适用",IF(AND(N6="检测到外溢",O6=K6),"正确","错误"))))</x:f>
        <x:v>不适用</x:v>
      </x:c>
      <x:c r="Y6" s="43" t="str">
        <x:f>IF(N6="无法测试","无法测试",IF(N6="","待填写",IF(J6&lt;&gt;"无法判断","不适用",IF(AND(N6="无法判断",P6=L6),"正确","错误"))))</x:f>
        <x:v>不适用</x:v>
      </x:c>
      <x:c r="Z6" s="43" t="str">
        <x:f>IF(N6="无法测试","无法测试",IF(N6="","待填写",IF(AND(W6="正确",OR(X6="正确",X6="不适用"),OR(Y6="正确",Y6="不适用"),R6="中文"),"通过","未通过")))</x:f>
        <x:v>通过</x:v>
      </x:c>
      <x:c r="AA6" s="32" t="str">
        <x:v>部署页实测清晰分支；代码不读取图片内容，900ms为固定模拟等待。</x:v>
      </x:c>
    </x:row>
    <x:row r="7" ht="34" customHeight="1">
      <x:c r="A7" s="37" t="str">
        <x:v>HYL-003</x:v>
      </x:c>
      <x:c r="B7" s="30" t="str">
        <x:v>清晰正常</x:v>
      </x:c>
      <x:c r="C7" s="31" t="str">
        <x:v>HYL-003_normal.jpg</x:v>
      </x:c>
      <x:c r="D7" s="31" t="str">
        <x:v>未提供图片；预设流程验证</x:v>
      </x:c>
      <x:c r="E7" s="31" t="str">
        <x:v>不适用</x:v>
      </x:c>
      <x:c r="F7" s="30" t="str">
        <x:v>正常</x:v>
      </x:c>
      <x:c r="G7" s="30" t="str">
        <x:v>清晰</x:v>
      </x:c>
      <x:c r="H7" s="30" t="str">
        <x:v>无遮挡</x:v>
      </x:c>
      <x:c r="I7" s="30" t="str">
        <x:v>是</x:v>
      </x:c>
      <x:c r="J7" s="40" t="str">
        <x:v>未见明显外溢</x:v>
      </x:c>
      <x:c r="K7" s="40" t="str">
        <x:v>不适用</x:v>
      </x:c>
      <x:c r="L7" s="40" t="str">
        <x:v>不适用</x:v>
      </x:c>
      <x:c r="M7" s="40" t="str">
        <x:v>未见明显外溢，可以结束检查。</x:v>
      </x:c>
      <x:c r="N7" s="31" t="str">
        <x:v>未见明显外溢</x:v>
      </x:c>
      <x:c r="O7" s="31" t="str">
        <x:v>不适用</x:v>
      </x:c>
      <x:c r="P7" s="31" t="str">
        <x:v>不适用</x:v>
      </x:c>
      <x:c r="Q7" s="31" t="str">
        <x:v>这是预设的“未见明显问题”结果。真实产品仍需接入视觉检测。</x:v>
      </x:c>
      <x:c r="R7" s="31" t="str">
        <x:v>中文</x:v>
      </x:c>
      <x:c r="S7" s="31" t="str">
        <x:v>预设适配器（无AI）</x:v>
      </x:c>
      <x:c r="T7" s="31" t="str">
        <x:v>部署页与beauty-accessibility-upgrade@fb12690</x:v>
      </x:c>
      <x:c r="U7" s="46" t="n">
        <x:v>46302.479166666664</x:v>
      </x:c>
      <x:c r="V7" s="49" t="n">
        <x:v>900</x:v>
      </x:c>
      <x:c r="W7" s="43" t="str">
        <x:f>IF(N7="无法测试","无法测试",IF(N7="","待填写",IF(N7=J7,"正确","错误")))</x:f>
        <x:v>正确</x:v>
      </x:c>
      <x:c r="X7" s="43" t="str">
        <x:f>IF(N7="无法测试","无法测试",IF(N7="","待填写",IF(J7&lt;&gt;"检测到外溢","不适用",IF(AND(N7="检测到外溢",O7=K7),"正确","错误"))))</x:f>
        <x:v>不适用</x:v>
      </x:c>
      <x:c r="Y7" s="43" t="str">
        <x:f>IF(N7="无法测试","无法测试",IF(N7="","待填写",IF(J7&lt;&gt;"无法判断","不适用",IF(AND(N7="无法判断",P7=L7),"正确","错误"))))</x:f>
        <x:v>不适用</x:v>
      </x:c>
      <x:c r="Z7" s="43" t="str">
        <x:f>IF(N7="无法测试","无法测试",IF(N7="","待填写",IF(AND(W7="正确",OR(X7="正确",X7="不适用"),OR(Y7="正确",Y7="不适用"),R7="中文"),"通过","未通过")))</x:f>
        <x:v>通过</x:v>
      </x:c>
      <x:c r="AA7" s="32" t="str">
        <x:v>部署页实测清晰分支；代码不读取图片内容，900ms为固定模拟等待。</x:v>
      </x:c>
    </x:row>
    <x:row r="8" ht="34" customHeight="1">
      <x:c r="A8" s="37" t="str">
        <x:v>HYL-004</x:v>
      </x:c>
      <x:c r="B8" s="30" t="str">
        <x:v>清晰正常</x:v>
      </x:c>
      <x:c r="C8" s="31" t="str">
        <x:v>HYL-004_normal.jpg</x:v>
      </x:c>
      <x:c r="D8" s="31" t="str">
        <x:v>未提供图片；预设流程验证</x:v>
      </x:c>
      <x:c r="E8" s="31" t="str">
        <x:v>不适用</x:v>
      </x:c>
      <x:c r="F8" s="30" t="str">
        <x:v>正常</x:v>
      </x:c>
      <x:c r="G8" s="30" t="str">
        <x:v>清晰</x:v>
      </x:c>
      <x:c r="H8" s="30" t="str">
        <x:v>无遮挡</x:v>
      </x:c>
      <x:c r="I8" s="30" t="str">
        <x:v>是</x:v>
      </x:c>
      <x:c r="J8" s="40" t="str">
        <x:v>未见明显外溢</x:v>
      </x:c>
      <x:c r="K8" s="40" t="str">
        <x:v>不适用</x:v>
      </x:c>
      <x:c r="L8" s="40" t="str">
        <x:v>不适用</x:v>
      </x:c>
      <x:c r="M8" s="40" t="str">
        <x:v>未见明显外溢，可以结束检查。</x:v>
      </x:c>
      <x:c r="N8" s="31" t="str">
        <x:v>未见明显外溢</x:v>
      </x:c>
      <x:c r="O8" s="31" t="str">
        <x:v>不适用</x:v>
      </x:c>
      <x:c r="P8" s="31" t="str">
        <x:v>不适用</x:v>
      </x:c>
      <x:c r="Q8" s="31" t="str">
        <x:v>这是预设的“未见明显问题”结果。真实产品仍需接入视觉检测。</x:v>
      </x:c>
      <x:c r="R8" s="31" t="str">
        <x:v>中文</x:v>
      </x:c>
      <x:c r="S8" s="31" t="str">
        <x:v>预设适配器（无AI）</x:v>
      </x:c>
      <x:c r="T8" s="31" t="str">
        <x:v>部署页与beauty-accessibility-upgrade@fb12690</x:v>
      </x:c>
      <x:c r="U8" s="46" t="n">
        <x:v>46302.479166666664</x:v>
      </x:c>
      <x:c r="V8" s="49" t="n">
        <x:v>900</x:v>
      </x:c>
      <x:c r="W8" s="43" t="str">
        <x:f>IF(N8="无法测试","无法测试",IF(N8="","待填写",IF(N8=J8,"正确","错误")))</x:f>
        <x:v>正确</x:v>
      </x:c>
      <x:c r="X8" s="43" t="str">
        <x:f>IF(N8="无法测试","无法测试",IF(N8="","待填写",IF(J8&lt;&gt;"检测到外溢","不适用",IF(AND(N8="检测到外溢",O8=K8),"正确","错误"))))</x:f>
        <x:v>不适用</x:v>
      </x:c>
      <x:c r="Y8" s="43" t="str">
        <x:f>IF(N8="无法测试","无法测试",IF(N8="","待填写",IF(J8&lt;&gt;"无法判断","不适用",IF(AND(N8="无法判断",P8=L8),"正确","错误"))))</x:f>
        <x:v>不适用</x:v>
      </x:c>
      <x:c r="Z8" s="43" t="str">
        <x:f>IF(N8="无法测试","无法测试",IF(N8="","待填写",IF(AND(W8="正确",OR(X8="正确",X8="不适用"),OR(Y8="正确",Y8="不适用"),R8="中文"),"通过","未通过")))</x:f>
        <x:v>通过</x:v>
      </x:c>
      <x:c r="AA8" s="32" t="str">
        <x:v>部署页实测清晰分支；代码不读取图片内容，900ms为固定模拟等待。</x:v>
      </x:c>
    </x:row>
    <x:row r="9" ht="34" customHeight="1">
      <x:c r="A9" s="37" t="str">
        <x:v>HYL-005</x:v>
      </x:c>
      <x:c r="B9" s="30" t="str">
        <x:v>清晰正常</x:v>
      </x:c>
      <x:c r="C9" s="31" t="str">
        <x:v>HYL-005_normal.jpg</x:v>
      </x:c>
      <x:c r="D9" s="31" t="str">
        <x:v>未提供图片；预设流程验证</x:v>
      </x:c>
      <x:c r="E9" s="31" t="str">
        <x:v>不适用</x:v>
      </x:c>
      <x:c r="F9" s="30" t="str">
        <x:v>正常</x:v>
      </x:c>
      <x:c r="G9" s="30" t="str">
        <x:v>清晰</x:v>
      </x:c>
      <x:c r="H9" s="30" t="str">
        <x:v>无遮挡</x:v>
      </x:c>
      <x:c r="I9" s="30" t="str">
        <x:v>是</x:v>
      </x:c>
      <x:c r="J9" s="40" t="str">
        <x:v>未见明显外溢</x:v>
      </x:c>
      <x:c r="K9" s="40" t="str">
        <x:v>不适用</x:v>
      </x:c>
      <x:c r="L9" s="40" t="str">
        <x:v>不适用</x:v>
      </x:c>
      <x:c r="M9" s="40" t="str">
        <x:v>未见明显外溢，可以结束检查。</x:v>
      </x:c>
      <x:c r="N9" s="31" t="str">
        <x:v>未见明显外溢</x:v>
      </x:c>
      <x:c r="O9" s="31" t="str">
        <x:v>不适用</x:v>
      </x:c>
      <x:c r="P9" s="31" t="str">
        <x:v>不适用</x:v>
      </x:c>
      <x:c r="Q9" s="31" t="str">
        <x:v>这是预设的“未见明显问题”结果。真实产品仍需接入视觉检测。</x:v>
      </x:c>
      <x:c r="R9" s="31" t="str">
        <x:v>中文</x:v>
      </x:c>
      <x:c r="S9" s="31" t="str">
        <x:v>预设适配器（无AI）</x:v>
      </x:c>
      <x:c r="T9" s="31" t="str">
        <x:v>部署页与beauty-accessibility-upgrade@fb12690</x:v>
      </x:c>
      <x:c r="U9" s="46" t="n">
        <x:v>46302.479166666664</x:v>
      </x:c>
      <x:c r="V9" s="49" t="n">
        <x:v>900</x:v>
      </x:c>
      <x:c r="W9" s="43" t="str">
        <x:f>IF(N9="无法测试","无法测试",IF(N9="","待填写",IF(N9=J9,"正确","错误")))</x:f>
        <x:v>正确</x:v>
      </x:c>
      <x:c r="X9" s="43" t="str">
        <x:f>IF(N9="无法测试","无法测试",IF(N9="","待填写",IF(J9&lt;&gt;"检测到外溢","不适用",IF(AND(N9="检测到外溢",O9=K9),"正确","错误"))))</x:f>
        <x:v>不适用</x:v>
      </x:c>
      <x:c r="Y9" s="43" t="str">
        <x:f>IF(N9="无法测试","无法测试",IF(N9="","待填写",IF(J9&lt;&gt;"无法判断","不适用",IF(AND(N9="无法判断",P9=L9),"正确","错误"))))</x:f>
        <x:v>不适用</x:v>
      </x:c>
      <x:c r="Z9" s="43" t="str">
        <x:f>IF(N9="无法测试","无法测试",IF(N9="","待填写",IF(AND(W9="正确",OR(X9="正确",X9="不适用"),OR(Y9="正确",Y9="不适用"),R9="中文"),"通过","未通过")))</x:f>
        <x:v>通过</x:v>
      </x:c>
      <x:c r="AA9" s="32" t="str">
        <x:v>部署页实测清晰分支；代码不读取图片内容，900ms为固定模拟等待。</x:v>
      </x:c>
    </x:row>
    <x:row r="10" ht="34" customHeight="1">
      <x:c r="A10" s="37" t="str">
        <x:v>HYL-006</x:v>
      </x:c>
      <x:c r="B10" s="30" t="str">
        <x:v>左侧外溢</x:v>
      </x:c>
      <x:c r="C10" s="31" t="str">
        <x:v>HYL-006_spill_left.jpg</x:v>
      </x:c>
      <x:c r="D10" s="31" t="str">
        <x:v>未提供图片；预设流程验证</x:v>
      </x:c>
      <x:c r="E10" s="31" t="str">
        <x:v>不适用</x:v>
      </x:c>
      <x:c r="F10" s="30" t="str">
        <x:v>正常</x:v>
      </x:c>
      <x:c r="G10" s="30" t="str">
        <x:v>清晰</x:v>
      </x:c>
      <x:c r="H10" s="30" t="str">
        <x:v>无遮挡</x:v>
      </x:c>
      <x:c r="I10" s="30" t="str">
        <x:v>是</x:v>
      </x:c>
      <x:c r="J10" s="40" t="str">
        <x:v>检测到外溢</x:v>
      </x:c>
      <x:c r="K10" s="40" t="str">
        <x:v>用户左侧</x:v>
      </x:c>
      <x:c r="L10" s="40" t="str">
        <x:v>不适用</x:v>
      </x:c>
      <x:c r="M10" s="40" t="str">
        <x:v>你自己的左侧嘴角有外溢，请轻擦后重新拍照。</x:v>
      </x:c>
      <x:c r="N10" s="31" t="str">
        <x:v>检测到外溢</x:v>
      </x:c>
      <x:c r="O10" s="31" t="str">
        <x:v>用户右侧</x:v>
      </x:c>
      <x:c r="P10" s="31" t="str">
        <x:v>不适用</x:v>
      </x:c>
      <x:c r="Q10" s="31" t="str">
        <x:v>演示结果：你自己的右侧嘴角有少量口红超出唇线。下一步会给出一条修正提示。</x:v>
      </x:c>
      <x:c r="R10" s="31" t="str">
        <x:v>中文</x:v>
      </x:c>
      <x:c r="S10" s="31" t="str">
        <x:v>预设适配器（无AI）</x:v>
      </x:c>
      <x:c r="T10" s="31" t="str">
        <x:v>部署页与beauty-accessibility-upgrade@fb12690</x:v>
      </x:c>
      <x:c r="U10" s="46" t="n">
        <x:v>46302.479166666664</x:v>
      </x:c>
      <x:c r="V10" s="49" t="n">
        <x:v>900</x:v>
      </x:c>
      <x:c r="W10" s="43" t="str">
        <x:f>IF(N10="无法测试","无法测试",IF(N10="","待填写",IF(N10=J10,"正确","错误")))</x:f>
        <x:v>正确</x:v>
      </x:c>
      <x:c r="X10" s="43" t="str">
        <x:f>IF(N10="无法测试","无法测试",IF(N10="","待填写",IF(J10&lt;&gt;"检测到外溢","不适用",IF(AND(N10="检测到外溢",O10=K10),"正确","错误"))))</x:f>
        <x:v>错误</x:v>
      </x:c>
      <x:c r="Y10" s="43" t="str">
        <x:f>IF(N10="无法测试","无法测试",IF(N10="","待填写",IF(J10&lt;&gt;"无法判断","不适用",IF(AND(N10="无法判断",P10=L10),"正确","错误"))))</x:f>
        <x:v>不适用</x:v>
      </x:c>
      <x:c r="Z10" s="43" t="str">
        <x:f>IF(N10="无法测试","无法测试",IF(N10="","待填写",IF(AND(W10="正确",OR(X10="正确",X10="不适用"),OR(Y10="正确",Y10="不适用"),R10="中文"),"通过","未通过")))</x:f>
        <x:v>未通过</x:v>
      </x:c>
      <x:c r="AA10" s="32" t="str">
        <x:v>部署页实测外溢分支；无论图片内容或预期左/右，预设结果固定为用户右侧。</x:v>
      </x:c>
    </x:row>
    <x:row r="11" ht="34" customHeight="1">
      <x:c r="A11" s="37" t="str">
        <x:v>HYL-007</x:v>
      </x:c>
      <x:c r="B11" s="30" t="str">
        <x:v>左侧外溢</x:v>
      </x:c>
      <x:c r="C11" s="31" t="str">
        <x:v>HYL-007_spill_left.jpg</x:v>
      </x:c>
      <x:c r="D11" s="31" t="str">
        <x:v>未提供图片；预设流程验证</x:v>
      </x:c>
      <x:c r="E11" s="31" t="str">
        <x:v>不适用</x:v>
      </x:c>
      <x:c r="F11" s="30" t="str">
        <x:v>正常</x:v>
      </x:c>
      <x:c r="G11" s="30" t="str">
        <x:v>清晰</x:v>
      </x:c>
      <x:c r="H11" s="30" t="str">
        <x:v>无遮挡</x:v>
      </x:c>
      <x:c r="I11" s="30" t="str">
        <x:v>是</x:v>
      </x:c>
      <x:c r="J11" s="40" t="str">
        <x:v>检测到外溢</x:v>
      </x:c>
      <x:c r="K11" s="40" t="str">
        <x:v>用户左侧</x:v>
      </x:c>
      <x:c r="L11" s="40" t="str">
        <x:v>不适用</x:v>
      </x:c>
      <x:c r="M11" s="40" t="str">
        <x:v>你自己的左侧嘴角有外溢，请轻擦后重新拍照。</x:v>
      </x:c>
      <x:c r="N11" s="31" t="str">
        <x:v>检测到外溢</x:v>
      </x:c>
      <x:c r="O11" s="31" t="str">
        <x:v>用户右侧</x:v>
      </x:c>
      <x:c r="P11" s="31" t="str">
        <x:v>不适用</x:v>
      </x:c>
      <x:c r="Q11" s="31" t="str">
        <x:v>演示结果：你自己的右侧嘴角有少量口红超出唇线。下一步会给出一条修正提示。</x:v>
      </x:c>
      <x:c r="R11" s="31" t="str">
        <x:v>中文</x:v>
      </x:c>
      <x:c r="S11" s="31" t="str">
        <x:v>预设适配器（无AI）</x:v>
      </x:c>
      <x:c r="T11" s="31" t="str">
        <x:v>部署页与beauty-accessibility-upgrade@fb12690</x:v>
      </x:c>
      <x:c r="U11" s="46" t="n">
        <x:v>46302.479166666664</x:v>
      </x:c>
      <x:c r="V11" s="49" t="n">
        <x:v>900</x:v>
      </x:c>
      <x:c r="W11" s="43" t="str">
        <x:f>IF(N11="无法测试","无法测试",IF(N11="","待填写",IF(N11=J11,"正确","错误")))</x:f>
        <x:v>正确</x:v>
      </x:c>
      <x:c r="X11" s="43" t="str">
        <x:f>IF(N11="无法测试","无法测试",IF(N11="","待填写",IF(J11&lt;&gt;"检测到外溢","不适用",IF(AND(N11="检测到外溢",O11=K11),"正确","错误"))))</x:f>
        <x:v>错误</x:v>
      </x:c>
      <x:c r="Y11" s="43" t="str">
        <x:f>IF(N11="无法测试","无法测试",IF(N11="","待填写",IF(J11&lt;&gt;"无法判断","不适用",IF(AND(N11="无法判断",P11=L11),"正确","错误"))))</x:f>
        <x:v>不适用</x:v>
      </x:c>
      <x:c r="Z11" s="43" t="str">
        <x:f>IF(N11="无法测试","无法测试",IF(N11="","待填写",IF(AND(W11="正确",OR(X11="正确",X11="不适用"),OR(Y11="正确",Y11="不适用"),R11="中文"),"通过","未通过")))</x:f>
        <x:v>未通过</x:v>
      </x:c>
      <x:c r="AA11" s="32" t="str">
        <x:v>部署页实测外溢分支；无论图片内容或预期左/右，预设结果固定为用户右侧。</x:v>
      </x:c>
    </x:row>
    <x:row r="12" ht="34" customHeight="1">
      <x:c r="A12" s="37" t="str">
        <x:v>HYL-008</x:v>
      </x:c>
      <x:c r="B12" s="30" t="str">
        <x:v>左侧外溢</x:v>
      </x:c>
      <x:c r="C12" s="31" t="str">
        <x:v>HYL-008_spill_left.jpg</x:v>
      </x:c>
      <x:c r="D12" s="31" t="str">
        <x:v>未提供图片；预设流程验证</x:v>
      </x:c>
      <x:c r="E12" s="31" t="str">
        <x:v>不适用</x:v>
      </x:c>
      <x:c r="F12" s="30" t="str">
        <x:v>正常</x:v>
      </x:c>
      <x:c r="G12" s="30" t="str">
        <x:v>清晰</x:v>
      </x:c>
      <x:c r="H12" s="30" t="str">
        <x:v>无遮挡</x:v>
      </x:c>
      <x:c r="I12" s="30" t="str">
        <x:v>是</x:v>
      </x:c>
      <x:c r="J12" s="40" t="str">
        <x:v>检测到外溢</x:v>
      </x:c>
      <x:c r="K12" s="40" t="str">
        <x:v>用户左侧</x:v>
      </x:c>
      <x:c r="L12" s="40" t="str">
        <x:v>不适用</x:v>
      </x:c>
      <x:c r="M12" s="40" t="str">
        <x:v>你自己的左侧嘴角有外溢，请轻擦后重新拍照。</x:v>
      </x:c>
      <x:c r="N12" s="31" t="str">
        <x:v>检测到外溢</x:v>
      </x:c>
      <x:c r="O12" s="31" t="str">
        <x:v>用户右侧</x:v>
      </x:c>
      <x:c r="P12" s="31" t="str">
        <x:v>不适用</x:v>
      </x:c>
      <x:c r="Q12" s="31" t="str">
        <x:v>演示结果：你自己的右侧嘴角有少量口红超出唇线。下一步会给出一条修正提示。</x:v>
      </x:c>
      <x:c r="R12" s="31" t="str">
        <x:v>中文</x:v>
      </x:c>
      <x:c r="S12" s="31" t="str">
        <x:v>预设适配器（无AI）</x:v>
      </x:c>
      <x:c r="T12" s="31" t="str">
        <x:v>部署页与beauty-accessibility-upgrade@fb12690</x:v>
      </x:c>
      <x:c r="U12" s="46" t="n">
        <x:v>46302.479166666664</x:v>
      </x:c>
      <x:c r="V12" s="49" t="n">
        <x:v>900</x:v>
      </x:c>
      <x:c r="W12" s="43" t="str">
        <x:f>IF(N12="无法测试","无法测试",IF(N12="","待填写",IF(N12=J12,"正确","错误")))</x:f>
        <x:v>正确</x:v>
      </x:c>
      <x:c r="X12" s="43" t="str">
        <x:f>IF(N12="无法测试","无法测试",IF(N12="","待填写",IF(J12&lt;&gt;"检测到外溢","不适用",IF(AND(N12="检测到外溢",O12=K12),"正确","错误"))))</x:f>
        <x:v>错误</x:v>
      </x:c>
      <x:c r="Y12" s="43" t="str">
        <x:f>IF(N12="无法测试","无法测试",IF(N12="","待填写",IF(J12&lt;&gt;"无法判断","不适用",IF(AND(N12="无法判断",P12=L12),"正确","错误"))))</x:f>
        <x:v>不适用</x:v>
      </x:c>
      <x:c r="Z12" s="43" t="str">
        <x:f>IF(N12="无法测试","无法测试",IF(N12="","待填写",IF(AND(W12="正确",OR(X12="正确",X12="不适用"),OR(Y12="正确",Y12="不适用"),R12="中文"),"通过","未通过")))</x:f>
        <x:v>未通过</x:v>
      </x:c>
      <x:c r="AA12" s="32" t="str">
        <x:v>部署页实测外溢分支；无论图片内容或预期左/右，预设结果固定为用户右侧。</x:v>
      </x:c>
    </x:row>
    <x:row r="13" ht="34" customHeight="1">
      <x:c r="A13" s="37" t="str">
        <x:v>HYL-009</x:v>
      </x:c>
      <x:c r="B13" s="30" t="str">
        <x:v>左侧外溢</x:v>
      </x:c>
      <x:c r="C13" s="31" t="str">
        <x:v>HYL-009_spill_left.jpg</x:v>
      </x:c>
      <x:c r="D13" s="31" t="str">
        <x:v>未提供图片；预设流程验证</x:v>
      </x:c>
      <x:c r="E13" s="31" t="str">
        <x:v>不适用</x:v>
      </x:c>
      <x:c r="F13" s="30" t="str">
        <x:v>正常</x:v>
      </x:c>
      <x:c r="G13" s="30" t="str">
        <x:v>清晰</x:v>
      </x:c>
      <x:c r="H13" s="30" t="str">
        <x:v>无遮挡</x:v>
      </x:c>
      <x:c r="I13" s="30" t="str">
        <x:v>是</x:v>
      </x:c>
      <x:c r="J13" s="40" t="str">
        <x:v>检测到外溢</x:v>
      </x:c>
      <x:c r="K13" s="40" t="str">
        <x:v>用户左侧</x:v>
      </x:c>
      <x:c r="L13" s="40" t="str">
        <x:v>不适用</x:v>
      </x:c>
      <x:c r="M13" s="40" t="str">
        <x:v>你自己的左侧嘴角有外溢，请轻擦后重新拍照。</x:v>
      </x:c>
      <x:c r="N13" s="31" t="str">
        <x:v>检测到外溢</x:v>
      </x:c>
      <x:c r="O13" s="31" t="str">
        <x:v>用户右侧</x:v>
      </x:c>
      <x:c r="P13" s="31" t="str">
        <x:v>不适用</x:v>
      </x:c>
      <x:c r="Q13" s="31" t="str">
        <x:v>演示结果：你自己的右侧嘴角有少量口红超出唇线。下一步会给出一条修正提示。</x:v>
      </x:c>
      <x:c r="R13" s="31" t="str">
        <x:v>中文</x:v>
      </x:c>
      <x:c r="S13" s="31" t="str">
        <x:v>预设适配器（无AI）</x:v>
      </x:c>
      <x:c r="T13" s="31" t="str">
        <x:v>部署页与beauty-accessibility-upgrade@fb12690</x:v>
      </x:c>
      <x:c r="U13" s="46" t="n">
        <x:v>46302.479166666664</x:v>
      </x:c>
      <x:c r="V13" s="49" t="n">
        <x:v>900</x:v>
      </x:c>
      <x:c r="W13" s="43" t="str">
        <x:f>IF(N13="无法测试","无法测试",IF(N13="","待填写",IF(N13=J13,"正确","错误")))</x:f>
        <x:v>正确</x:v>
      </x:c>
      <x:c r="X13" s="43" t="str">
        <x:f>IF(N13="无法测试","无法测试",IF(N13="","待填写",IF(J13&lt;&gt;"检测到外溢","不适用",IF(AND(N13="检测到外溢",O13=K13),"正确","错误"))))</x:f>
        <x:v>错误</x:v>
      </x:c>
      <x:c r="Y13" s="43" t="str">
        <x:f>IF(N13="无法测试","无法测试",IF(N13="","待填写",IF(J13&lt;&gt;"无法判断","不适用",IF(AND(N13="无法判断",P13=L13),"正确","错误"))))</x:f>
        <x:v>不适用</x:v>
      </x:c>
      <x:c r="Z13" s="43" t="str">
        <x:f>IF(N13="无法测试","无法测试",IF(N13="","待填写",IF(AND(W13="正确",OR(X13="正确",X13="不适用"),OR(Y13="正确",Y13="不适用"),R13="中文"),"通过","未通过")))</x:f>
        <x:v>未通过</x:v>
      </x:c>
      <x:c r="AA13" s="32" t="str">
        <x:v>部署页实测外溢分支；无论图片内容或预期左/右，预设结果固定为用户右侧。</x:v>
      </x:c>
    </x:row>
    <x:row r="14" ht="34" customHeight="1">
      <x:c r="A14" s="37" t="str">
        <x:v>HYL-010</x:v>
      </x:c>
      <x:c r="B14" s="30" t="str">
        <x:v>左侧外溢</x:v>
      </x:c>
      <x:c r="C14" s="31" t="str">
        <x:v>HYL-010_spill_left.jpg</x:v>
      </x:c>
      <x:c r="D14" s="31" t="str">
        <x:v>未提供图片；预设流程验证</x:v>
      </x:c>
      <x:c r="E14" s="31" t="str">
        <x:v>不适用</x:v>
      </x:c>
      <x:c r="F14" s="30" t="str">
        <x:v>正常</x:v>
      </x:c>
      <x:c r="G14" s="30" t="str">
        <x:v>清晰</x:v>
      </x:c>
      <x:c r="H14" s="30" t="str">
        <x:v>无遮挡</x:v>
      </x:c>
      <x:c r="I14" s="30" t="str">
        <x:v>是</x:v>
      </x:c>
      <x:c r="J14" s="40" t="str">
        <x:v>检测到外溢</x:v>
      </x:c>
      <x:c r="K14" s="40" t="str">
        <x:v>用户左侧</x:v>
      </x:c>
      <x:c r="L14" s="40" t="str">
        <x:v>不适用</x:v>
      </x:c>
      <x:c r="M14" s="40" t="str">
        <x:v>你自己的左侧嘴角有外溢，请轻擦后重新拍照。</x:v>
      </x:c>
      <x:c r="N14" s="31" t="str">
        <x:v>检测到外溢</x:v>
      </x:c>
      <x:c r="O14" s="31" t="str">
        <x:v>用户右侧</x:v>
      </x:c>
      <x:c r="P14" s="31" t="str">
        <x:v>不适用</x:v>
      </x:c>
      <x:c r="Q14" s="31" t="str">
        <x:v>演示结果：你自己的右侧嘴角有少量口红超出唇线。下一步会给出一条修正提示。</x:v>
      </x:c>
      <x:c r="R14" s="31" t="str">
        <x:v>中文</x:v>
      </x:c>
      <x:c r="S14" s="31" t="str">
        <x:v>预设适配器（无AI）</x:v>
      </x:c>
      <x:c r="T14" s="31" t="str">
        <x:v>部署页与beauty-accessibility-upgrade@fb12690</x:v>
      </x:c>
      <x:c r="U14" s="46" t="n">
        <x:v>46302.479166666664</x:v>
      </x:c>
      <x:c r="V14" s="49" t="n">
        <x:v>900</x:v>
      </x:c>
      <x:c r="W14" s="43" t="str">
        <x:f>IF(N14="无法测试","无法测试",IF(N14="","待填写",IF(N14=J14,"正确","错误")))</x:f>
        <x:v>正确</x:v>
      </x:c>
      <x:c r="X14" s="43" t="str">
        <x:f>IF(N14="无法测试","无法测试",IF(N14="","待填写",IF(J14&lt;&gt;"检测到外溢","不适用",IF(AND(N14="检测到外溢",O14=K14),"正确","错误"))))</x:f>
        <x:v>错误</x:v>
      </x:c>
      <x:c r="Y14" s="43" t="str">
        <x:f>IF(N14="无法测试","无法测试",IF(N14="","待填写",IF(J14&lt;&gt;"无法判断","不适用",IF(AND(N14="无法判断",P14=L14),"正确","错误"))))</x:f>
        <x:v>不适用</x:v>
      </x:c>
      <x:c r="Z14" s="43" t="str">
        <x:f>IF(N14="无法测试","无法测试",IF(N14="","待填写",IF(AND(W14="正确",OR(X14="正确",X14="不适用"),OR(Y14="正确",Y14="不适用"),R14="中文"),"通过","未通过")))</x:f>
        <x:v>未通过</x:v>
      </x:c>
      <x:c r="AA14" s="32" t="str">
        <x:v>部署页实测外溢分支；无论图片内容或预期左/右，预设结果固定为用户右侧。</x:v>
      </x:c>
    </x:row>
    <x:row r="15" ht="34" customHeight="1">
      <x:c r="A15" s="37" t="str">
        <x:v>HYL-011</x:v>
      </x:c>
      <x:c r="B15" s="30" t="str">
        <x:v>右侧外溢</x:v>
      </x:c>
      <x:c r="C15" s="31" t="str">
        <x:v>HYL-011_spill_right.jpg</x:v>
      </x:c>
      <x:c r="D15" s="31" t="str">
        <x:v>未提供图片；预设流程验证</x:v>
      </x:c>
      <x:c r="E15" s="31" t="str">
        <x:v>不适用</x:v>
      </x:c>
      <x:c r="F15" s="30" t="str">
        <x:v>正常</x:v>
      </x:c>
      <x:c r="G15" s="30" t="str">
        <x:v>清晰</x:v>
      </x:c>
      <x:c r="H15" s="30" t="str">
        <x:v>无遮挡</x:v>
      </x:c>
      <x:c r="I15" s="30" t="str">
        <x:v>是</x:v>
      </x:c>
      <x:c r="J15" s="40" t="str">
        <x:v>检测到外溢</x:v>
      </x:c>
      <x:c r="K15" s="40" t="str">
        <x:v>用户右侧</x:v>
      </x:c>
      <x:c r="L15" s="40" t="str">
        <x:v>不适用</x:v>
      </x:c>
      <x:c r="M15" s="40" t="str">
        <x:v>你自己的右侧嘴角有外溢，请轻擦后重新拍照。</x:v>
      </x:c>
      <x:c r="N15" s="31" t="str">
        <x:v>检测到外溢</x:v>
      </x:c>
      <x:c r="O15" s="31" t="str">
        <x:v>用户右侧</x:v>
      </x:c>
      <x:c r="P15" s="31" t="str">
        <x:v>不适用</x:v>
      </x:c>
      <x:c r="Q15" s="31" t="str">
        <x:v>演示结果：你自己的右侧嘴角有少量口红超出唇线。下一步会给出一条修正提示。</x:v>
      </x:c>
      <x:c r="R15" s="31" t="str">
        <x:v>中文</x:v>
      </x:c>
      <x:c r="S15" s="31" t="str">
        <x:v>预设适配器（无AI）</x:v>
      </x:c>
      <x:c r="T15" s="31" t="str">
        <x:v>部署页与beauty-accessibility-upgrade@fb12690</x:v>
      </x:c>
      <x:c r="U15" s="46" t="n">
        <x:v>46302.479166666664</x:v>
      </x:c>
      <x:c r="V15" s="49" t="n">
        <x:v>900</x:v>
      </x:c>
      <x:c r="W15" s="43" t="str">
        <x:f>IF(N15="无法测试","无法测试",IF(N15="","待填写",IF(N15=J15,"正确","错误")))</x:f>
        <x:v>正确</x:v>
      </x:c>
      <x:c r="X15" s="43" t="str">
        <x:f>IF(N15="无法测试","无法测试",IF(N15="","待填写",IF(J15&lt;&gt;"检测到外溢","不适用",IF(AND(N15="检测到外溢",O15=K15),"正确","错误"))))</x:f>
        <x:v>正确</x:v>
      </x:c>
      <x:c r="Y15" s="43" t="str">
        <x:f>IF(N15="无法测试","无法测试",IF(N15="","待填写",IF(J15&lt;&gt;"无法判断","不适用",IF(AND(N15="无法判断",P15=L15),"正确","错误"))))</x:f>
        <x:v>不适用</x:v>
      </x:c>
      <x:c r="Z15" s="43" t="str">
        <x:f>IF(N15="无法测试","无法测试",IF(N15="","待填写",IF(AND(W15="正确",OR(X15="正确",X15="不适用"),OR(Y15="正确",Y15="不适用"),R15="中文"),"通过","未通过")))</x:f>
        <x:v>通过</x:v>
      </x:c>
      <x:c r="AA15" s="32" t="str">
        <x:v>部署页实测外溢分支；无论图片内容或预期左/右，预设结果固定为用户右侧。</x:v>
      </x:c>
    </x:row>
    <x:row r="16" ht="34" customHeight="1">
      <x:c r="A16" s="37" t="str">
        <x:v>HYL-012</x:v>
      </x:c>
      <x:c r="B16" s="30" t="str">
        <x:v>右侧外溢</x:v>
      </x:c>
      <x:c r="C16" s="31" t="str">
        <x:v>HYL-012_spill_right.jpg</x:v>
      </x:c>
      <x:c r="D16" s="31" t="str">
        <x:v>未提供图片；预设流程验证</x:v>
      </x:c>
      <x:c r="E16" s="31" t="str">
        <x:v>不适用</x:v>
      </x:c>
      <x:c r="F16" s="30" t="str">
        <x:v>正常</x:v>
      </x:c>
      <x:c r="G16" s="30" t="str">
        <x:v>清晰</x:v>
      </x:c>
      <x:c r="H16" s="30" t="str">
        <x:v>无遮挡</x:v>
      </x:c>
      <x:c r="I16" s="30" t="str">
        <x:v>是</x:v>
      </x:c>
      <x:c r="J16" s="40" t="str">
        <x:v>检测到外溢</x:v>
      </x:c>
      <x:c r="K16" s="40" t="str">
        <x:v>用户右侧</x:v>
      </x:c>
      <x:c r="L16" s="40" t="str">
        <x:v>不适用</x:v>
      </x:c>
      <x:c r="M16" s="40" t="str">
        <x:v>你自己的右侧嘴角有外溢，请轻擦后重新拍照。</x:v>
      </x:c>
      <x:c r="N16" s="31" t="str">
        <x:v>检测到外溢</x:v>
      </x:c>
      <x:c r="O16" s="31" t="str">
        <x:v>用户右侧</x:v>
      </x:c>
      <x:c r="P16" s="31" t="str">
        <x:v>不适用</x:v>
      </x:c>
      <x:c r="Q16" s="31" t="str">
        <x:v>演示结果：你自己的右侧嘴角有少量口红超出唇线。下一步会给出一条修正提示。</x:v>
      </x:c>
      <x:c r="R16" s="31" t="str">
        <x:v>中文</x:v>
      </x:c>
      <x:c r="S16" s="31" t="str">
        <x:v>预设适配器（无AI）</x:v>
      </x:c>
      <x:c r="T16" s="31" t="str">
        <x:v>部署页与beauty-accessibility-upgrade@fb12690</x:v>
      </x:c>
      <x:c r="U16" s="46" t="n">
        <x:v>46302.479166666664</x:v>
      </x:c>
      <x:c r="V16" s="49" t="n">
        <x:v>900</x:v>
      </x:c>
      <x:c r="W16" s="43" t="str">
        <x:f>IF(N16="无法测试","无法测试",IF(N16="","待填写",IF(N16=J16,"正确","错误")))</x:f>
        <x:v>正确</x:v>
      </x:c>
      <x:c r="X16" s="43" t="str">
        <x:f>IF(N16="无法测试","无法测试",IF(N16="","待填写",IF(J16&lt;&gt;"检测到外溢","不适用",IF(AND(N16="检测到外溢",O16=K16),"正确","错误"))))</x:f>
        <x:v>正确</x:v>
      </x:c>
      <x:c r="Y16" s="43" t="str">
        <x:f>IF(N16="无法测试","无法测试",IF(N16="","待填写",IF(J16&lt;&gt;"无法判断","不适用",IF(AND(N16="无法判断",P16=L16),"正确","错误"))))</x:f>
        <x:v>不适用</x:v>
      </x:c>
      <x:c r="Z16" s="43" t="str">
        <x:f>IF(N16="无法测试","无法测试",IF(N16="","待填写",IF(AND(W16="正确",OR(X16="正确",X16="不适用"),OR(Y16="正确",Y16="不适用"),R16="中文"),"通过","未通过")))</x:f>
        <x:v>通过</x:v>
      </x:c>
      <x:c r="AA16" s="32" t="str">
        <x:v>部署页实测外溢分支；无论图片内容或预期左/右，预设结果固定为用户右侧。</x:v>
      </x:c>
    </x:row>
    <x:row r="17" ht="34" customHeight="1">
      <x:c r="A17" s="37" t="str">
        <x:v>HYL-013</x:v>
      </x:c>
      <x:c r="B17" s="30" t="str">
        <x:v>右侧外溢</x:v>
      </x:c>
      <x:c r="C17" s="31" t="str">
        <x:v>HYL-013_spill_right.jpg</x:v>
      </x:c>
      <x:c r="D17" s="31" t="str">
        <x:v>未提供图片；预设流程验证</x:v>
      </x:c>
      <x:c r="E17" s="31" t="str">
        <x:v>不适用</x:v>
      </x:c>
      <x:c r="F17" s="30" t="str">
        <x:v>正常</x:v>
      </x:c>
      <x:c r="G17" s="30" t="str">
        <x:v>清晰</x:v>
      </x:c>
      <x:c r="H17" s="30" t="str">
        <x:v>无遮挡</x:v>
      </x:c>
      <x:c r="I17" s="30" t="str">
        <x:v>是</x:v>
      </x:c>
      <x:c r="J17" s="40" t="str">
        <x:v>检测到外溢</x:v>
      </x:c>
      <x:c r="K17" s="40" t="str">
        <x:v>用户右侧</x:v>
      </x:c>
      <x:c r="L17" s="40" t="str">
        <x:v>不适用</x:v>
      </x:c>
      <x:c r="M17" s="40" t="str">
        <x:v>你自己的右侧嘴角有外溢，请轻擦后重新拍照。</x:v>
      </x:c>
      <x:c r="N17" s="31" t="str">
        <x:v>检测到外溢</x:v>
      </x:c>
      <x:c r="O17" s="31" t="str">
        <x:v>用户右侧</x:v>
      </x:c>
      <x:c r="P17" s="31" t="str">
        <x:v>不适用</x:v>
      </x:c>
      <x:c r="Q17" s="31" t="str">
        <x:v>演示结果：你自己的右侧嘴角有少量口红超出唇线。下一步会给出一条修正提示。</x:v>
      </x:c>
      <x:c r="R17" s="31" t="str">
        <x:v>中文</x:v>
      </x:c>
      <x:c r="S17" s="31" t="str">
        <x:v>预设适配器（无AI）</x:v>
      </x:c>
      <x:c r="T17" s="31" t="str">
        <x:v>部署页与beauty-accessibility-upgrade@fb12690</x:v>
      </x:c>
      <x:c r="U17" s="46" t="n">
        <x:v>46302.479166666664</x:v>
      </x:c>
      <x:c r="V17" s="49" t="n">
        <x:v>900</x:v>
      </x:c>
      <x:c r="W17" s="43" t="str">
        <x:f>IF(N17="无法测试","无法测试",IF(N17="","待填写",IF(N17=J17,"正确","错误")))</x:f>
        <x:v>正确</x:v>
      </x:c>
      <x:c r="X17" s="43" t="str">
        <x:f>IF(N17="无法测试","无法测试",IF(N17="","待填写",IF(J17&lt;&gt;"检测到外溢","不适用",IF(AND(N17="检测到外溢",O17=K17),"正确","错误"))))</x:f>
        <x:v>正确</x:v>
      </x:c>
      <x:c r="Y17" s="43" t="str">
        <x:f>IF(N17="无法测试","无法测试",IF(N17="","待填写",IF(J17&lt;&gt;"无法判断","不适用",IF(AND(N17="无法判断",P17=L17),"正确","错误"))))</x:f>
        <x:v>不适用</x:v>
      </x:c>
      <x:c r="Z17" s="43" t="str">
        <x:f>IF(N17="无法测试","无法测试",IF(N17="","待填写",IF(AND(W17="正确",OR(X17="正确",X17="不适用"),OR(Y17="正确",Y17="不适用"),R17="中文"),"通过","未通过")))</x:f>
        <x:v>通过</x:v>
      </x:c>
      <x:c r="AA17" s="32" t="str">
        <x:v>部署页实测外溢分支；无论图片内容或预期左/右，预设结果固定为用户右侧。</x:v>
      </x:c>
    </x:row>
    <x:row r="18" ht="34" customHeight="1">
      <x:c r="A18" s="37" t="str">
        <x:v>HYL-014</x:v>
      </x:c>
      <x:c r="B18" s="30" t="str">
        <x:v>右侧外溢</x:v>
      </x:c>
      <x:c r="C18" s="31" t="str">
        <x:v>HYL-014_spill_right.jpg</x:v>
      </x:c>
      <x:c r="D18" s="31" t="str">
        <x:v>未提供图片；预设流程验证</x:v>
      </x:c>
      <x:c r="E18" s="31" t="str">
        <x:v>不适用</x:v>
      </x:c>
      <x:c r="F18" s="30" t="str">
        <x:v>正常</x:v>
      </x:c>
      <x:c r="G18" s="30" t="str">
        <x:v>清晰</x:v>
      </x:c>
      <x:c r="H18" s="30" t="str">
        <x:v>无遮挡</x:v>
      </x:c>
      <x:c r="I18" s="30" t="str">
        <x:v>是</x:v>
      </x:c>
      <x:c r="J18" s="40" t="str">
        <x:v>检测到外溢</x:v>
      </x:c>
      <x:c r="K18" s="40" t="str">
        <x:v>用户右侧</x:v>
      </x:c>
      <x:c r="L18" s="40" t="str">
        <x:v>不适用</x:v>
      </x:c>
      <x:c r="M18" s="40" t="str">
        <x:v>你自己的右侧嘴角有外溢，请轻擦后重新拍照。</x:v>
      </x:c>
      <x:c r="N18" s="31" t="str">
        <x:v>检测到外溢</x:v>
      </x:c>
      <x:c r="O18" s="31" t="str">
        <x:v>用户右侧</x:v>
      </x:c>
      <x:c r="P18" s="31" t="str">
        <x:v>不适用</x:v>
      </x:c>
      <x:c r="Q18" s="31" t="str">
        <x:v>演示结果：你自己的右侧嘴角有少量口红超出唇线。下一步会给出一条修正提示。</x:v>
      </x:c>
      <x:c r="R18" s="31" t="str">
        <x:v>中文</x:v>
      </x:c>
      <x:c r="S18" s="31" t="str">
        <x:v>预设适配器（无AI）</x:v>
      </x:c>
      <x:c r="T18" s="31" t="str">
        <x:v>部署页与beauty-accessibility-upgrade@fb12690</x:v>
      </x:c>
      <x:c r="U18" s="46" t="n">
        <x:v>46302.479166666664</x:v>
      </x:c>
      <x:c r="V18" s="49" t="n">
        <x:v>900</x:v>
      </x:c>
      <x:c r="W18" s="43" t="str">
        <x:f>IF(N18="无法测试","无法测试",IF(N18="","待填写",IF(N18=J18,"正确","错误")))</x:f>
        <x:v>正确</x:v>
      </x:c>
      <x:c r="X18" s="43" t="str">
        <x:f>IF(N18="无法测试","无法测试",IF(N18="","待填写",IF(J18&lt;&gt;"检测到外溢","不适用",IF(AND(N18="检测到外溢",O18=K18),"正确","错误"))))</x:f>
        <x:v>正确</x:v>
      </x:c>
      <x:c r="Y18" s="43" t="str">
        <x:f>IF(N18="无法测试","无法测试",IF(N18="","待填写",IF(J18&lt;&gt;"无法判断","不适用",IF(AND(N18="无法判断",P18=L18),"正确","错误"))))</x:f>
        <x:v>不适用</x:v>
      </x:c>
      <x:c r="Z18" s="43" t="str">
        <x:f>IF(N18="无法测试","无法测试",IF(N18="","待填写",IF(AND(W18="正确",OR(X18="正确",X18="不适用"),OR(Y18="正确",Y18="不适用"),R18="中文"),"通过","未通过")))</x:f>
        <x:v>通过</x:v>
      </x:c>
      <x:c r="AA18" s="32" t="str">
        <x:v>部署页实测外溢分支；无论图片内容或预期左/右，预设结果固定为用户右侧。</x:v>
      </x:c>
    </x:row>
    <x:row r="19" ht="34" customHeight="1">
      <x:c r="A19" s="37" t="str">
        <x:v>HYL-015</x:v>
      </x:c>
      <x:c r="B19" s="30" t="str">
        <x:v>右侧外溢</x:v>
      </x:c>
      <x:c r="C19" s="31" t="str">
        <x:v>HYL-015_spill_right.jpg</x:v>
      </x:c>
      <x:c r="D19" s="31" t="str">
        <x:v>未提供图片；预设流程验证</x:v>
      </x:c>
      <x:c r="E19" s="31" t="str">
        <x:v>不适用</x:v>
      </x:c>
      <x:c r="F19" s="30" t="str">
        <x:v>正常</x:v>
      </x:c>
      <x:c r="G19" s="30" t="str">
        <x:v>清晰</x:v>
      </x:c>
      <x:c r="H19" s="30" t="str">
        <x:v>无遮挡</x:v>
      </x:c>
      <x:c r="I19" s="30" t="str">
        <x:v>是</x:v>
      </x:c>
      <x:c r="J19" s="40" t="str">
        <x:v>检测到外溢</x:v>
      </x:c>
      <x:c r="K19" s="40" t="str">
        <x:v>用户右侧</x:v>
      </x:c>
      <x:c r="L19" s="40" t="str">
        <x:v>不适用</x:v>
      </x:c>
      <x:c r="M19" s="40" t="str">
        <x:v>你自己的右侧嘴角有外溢，请轻擦后重新拍照。</x:v>
      </x:c>
      <x:c r="N19" s="31" t="str">
        <x:v>检测到外溢</x:v>
      </x:c>
      <x:c r="O19" s="31" t="str">
        <x:v>用户右侧</x:v>
      </x:c>
      <x:c r="P19" s="31" t="str">
        <x:v>不适用</x:v>
      </x:c>
      <x:c r="Q19" s="31" t="str">
        <x:v>演示结果：你自己的右侧嘴角有少量口红超出唇线。下一步会给出一条修正提示。</x:v>
      </x:c>
      <x:c r="R19" s="31" t="str">
        <x:v>中文</x:v>
      </x:c>
      <x:c r="S19" s="31" t="str">
        <x:v>预设适配器（无AI）</x:v>
      </x:c>
      <x:c r="T19" s="31" t="str">
        <x:v>部署页与beauty-accessibility-upgrade@fb12690</x:v>
      </x:c>
      <x:c r="U19" s="46" t="n">
        <x:v>46302.479166666664</x:v>
      </x:c>
      <x:c r="V19" s="49" t="n">
        <x:v>900</x:v>
      </x:c>
      <x:c r="W19" s="43" t="str">
        <x:f>IF(N19="无法测试","无法测试",IF(N19="","待填写",IF(N19=J19,"正确","错误")))</x:f>
        <x:v>正确</x:v>
      </x:c>
      <x:c r="X19" s="43" t="str">
        <x:f>IF(N19="无法测试","无法测试",IF(N19="","待填写",IF(J19&lt;&gt;"检测到外溢","不适用",IF(AND(N19="检测到外溢",O19=K19),"正确","错误"))))</x:f>
        <x:v>正确</x:v>
      </x:c>
      <x:c r="Y19" s="43" t="str">
        <x:f>IF(N19="无法测试","无法测试",IF(N19="","待填写",IF(J19&lt;&gt;"无法判断","不适用",IF(AND(N19="无法判断",P19=L19),"正确","错误"))))</x:f>
        <x:v>不适用</x:v>
      </x:c>
      <x:c r="Z19" s="43" t="str">
        <x:f>IF(N19="无法测试","无法测试",IF(N19="","待填写",IF(AND(W19="正确",OR(X19="正确",X19="不适用"),OR(Y19="正确",Y19="不适用"),R19="中文"),"通过","未通过")))</x:f>
        <x:v>通过</x:v>
      </x:c>
      <x:c r="AA19" s="32" t="str">
        <x:v>部署页实测外溢分支；无论图片内容或预期左/右，预设结果固定为用户右侧。</x:v>
      </x:c>
    </x:row>
    <x:row r="20" ht="34" customHeight="1">
      <x:c r="A20" s="37" t="str">
        <x:v>HYL-016</x:v>
      </x:c>
      <x:c r="B20" s="30" t="str">
        <x:v>画面模糊</x:v>
      </x:c>
      <x:c r="C20" s="31" t="str">
        <x:v>HYL-016_blur.jpg</x:v>
      </x:c>
      <x:c r="D20" s="31" t="str">
        <x:v>未提供图片；预设流程验证</x:v>
      </x:c>
      <x:c r="E20" s="31" t="str">
        <x:v>不适用</x:v>
      </x:c>
      <x:c r="F20" s="30" t="str">
        <x:v>正常</x:v>
      </x:c>
      <x:c r="G20" s="30" t="str">
        <x:v>模糊</x:v>
      </x:c>
      <x:c r="H20" s="30" t="str">
        <x:v>无遮挡</x:v>
      </x:c>
      <x:c r="I20" s="30" t="str">
        <x:v>否</x:v>
      </x:c>
      <x:c r="J20" s="40" t="str">
        <x:v>无法判断</x:v>
      </x:c>
      <x:c r="K20" s="40" t="str">
        <x:v>不适用</x:v>
      </x:c>
      <x:c r="L20" s="40" t="str">
        <x:v>画面模糊</x:v>
      </x:c>
      <x:c r="M20" s="40" t="str">
        <x:v>画面模糊，请固定手机并重新对焦。</x:v>
      </x:c>
      <x:c r="N20" s="31" t="str">
        <x:v>无法测试</x:v>
      </x:c>
      <x:c r="O20" s="31" t="str">
        <x:v>不适用</x:v>
      </x:c>
      <x:c r="P20" s="31" t="str">
        <x:v>无对应预设</x:v>
      </x:c>
      <x:c r="Q20" s="31" t="str">
        <x:v>当前部署页没有画面模糊分支，也不会根据图片内容检测模糊。</x:v>
      </x:c>
      <x:c r="R20" s="31" t="str">
        <x:v>中文</x:v>
      </x:c>
      <x:c r="S20" s="31" t="str">
        <x:v>预设适配器（无AI）</x:v>
      </x:c>
      <x:c r="T20" s="31" t="str">
        <x:v>部署页与beauty-accessibility-upgrade@fb12690</x:v>
      </x:c>
      <x:c r="U20" s="46" t="n">
        <x:v>46302.479166666664</x:v>
      </x:c>
      <x:c r="V20" s="49"/>
      <x:c r="W20" s="43" t="str">
        <x:f>IF(N20="无法测试","无法测试",IF(N20="","待填写",IF(N20=J20,"正确","错误")))</x:f>
        <x:v>无法测试</x:v>
      </x:c>
      <x:c r="X20" s="43" t="str">
        <x:f>IF(N20="无法测试","无法测试",IF(N20="","待填写",IF(J20&lt;&gt;"检测到外溢","不适用",IF(AND(N20="检测到外溢",O20=K20),"正确","错误"))))</x:f>
        <x:v>无法测试</x:v>
      </x:c>
      <x:c r="Y20" s="43" t="str">
        <x:f>IF(N20="无法测试","无法测试",IF(N20="","待填写",IF(J20&lt;&gt;"无法判断","不适用",IF(AND(N20="无法判断",P20=L20),"正确","错误"))))</x:f>
        <x:v>无法测试</x:v>
      </x:c>
      <x:c r="Z20" s="43" t="str">
        <x:f>IF(N20="无法测试","无法测试",IF(N20="","待填写",IF(AND(W20="正确",OR(X20="正确",X20="不适用"),OR(Y20="正确",Y20="不适用"),R20="中文"),"通过","未通过")))</x:f>
        <x:v>无法测试</x:v>
      </x:c>
      <x:c r="AA20" s="32" t="str">
        <x:v>无法执行图像级测试：仓库没有模糊判断能力或对应预设分支。</x:v>
      </x:c>
    </x:row>
    <x:row r="21" ht="34" customHeight="1">
      <x:c r="A21" s="37" t="str">
        <x:v>HYL-017</x:v>
      </x:c>
      <x:c r="B21" s="30" t="str">
        <x:v>画面模糊</x:v>
      </x:c>
      <x:c r="C21" s="31" t="str">
        <x:v>HYL-017_blur.jpg</x:v>
      </x:c>
      <x:c r="D21" s="31" t="str">
        <x:v>未提供图片；预设流程验证</x:v>
      </x:c>
      <x:c r="E21" s="31" t="str">
        <x:v>不适用</x:v>
      </x:c>
      <x:c r="F21" s="30" t="str">
        <x:v>正常</x:v>
      </x:c>
      <x:c r="G21" s="30" t="str">
        <x:v>模糊</x:v>
      </x:c>
      <x:c r="H21" s="30" t="str">
        <x:v>无遮挡</x:v>
      </x:c>
      <x:c r="I21" s="30" t="str">
        <x:v>否</x:v>
      </x:c>
      <x:c r="J21" s="40" t="str">
        <x:v>无法判断</x:v>
      </x:c>
      <x:c r="K21" s="40" t="str">
        <x:v>不适用</x:v>
      </x:c>
      <x:c r="L21" s="40" t="str">
        <x:v>画面模糊</x:v>
      </x:c>
      <x:c r="M21" s="40" t="str">
        <x:v>画面模糊，请固定手机并重新对焦。</x:v>
      </x:c>
      <x:c r="N21" s="31" t="str">
        <x:v>无法测试</x:v>
      </x:c>
      <x:c r="O21" s="31" t="str">
        <x:v>不适用</x:v>
      </x:c>
      <x:c r="P21" s="31" t="str">
        <x:v>无对应预设</x:v>
      </x:c>
      <x:c r="Q21" s="31" t="str">
        <x:v>当前部署页没有画面模糊分支，也不会根据图片内容检测模糊。</x:v>
      </x:c>
      <x:c r="R21" s="31" t="str">
        <x:v>中文</x:v>
      </x:c>
      <x:c r="S21" s="31" t="str">
        <x:v>预设适配器（无AI）</x:v>
      </x:c>
      <x:c r="T21" s="31" t="str">
        <x:v>部署页与beauty-accessibility-upgrade@fb12690</x:v>
      </x:c>
      <x:c r="U21" s="46" t="n">
        <x:v>46302.479166666664</x:v>
      </x:c>
      <x:c r="V21" s="49"/>
      <x:c r="W21" s="43" t="str">
        <x:f>IF(N21="无法测试","无法测试",IF(N21="","待填写",IF(N21=J21,"正确","错误")))</x:f>
        <x:v>无法测试</x:v>
      </x:c>
      <x:c r="X21" s="43" t="str">
        <x:f>IF(N21="无法测试","无法测试",IF(N21="","待填写",IF(J21&lt;&gt;"检测到外溢","不适用",IF(AND(N21="检测到外溢",O21=K21),"正确","错误"))))</x:f>
        <x:v>无法测试</x:v>
      </x:c>
      <x:c r="Y21" s="43" t="str">
        <x:f>IF(N21="无法测试","无法测试",IF(N21="","待填写",IF(J21&lt;&gt;"无法判断","不适用",IF(AND(N21="无法判断",P21=L21),"正确","错误"))))</x:f>
        <x:v>无法测试</x:v>
      </x:c>
      <x:c r="Z21" s="43" t="str">
        <x:f>IF(N21="无法测试","无法测试",IF(N21="","待填写",IF(AND(W21="正确",OR(X21="正确",X21="不适用"),OR(Y21="正确",Y21="不适用"),R21="中文"),"通过","未通过")))</x:f>
        <x:v>无法测试</x:v>
      </x:c>
      <x:c r="AA21" s="32" t="str">
        <x:v>无法执行图像级测试：仓库没有模糊判断能力或对应预设分支。</x:v>
      </x:c>
    </x:row>
    <x:row r="22" ht="34" customHeight="1">
      <x:c r="A22" s="37" t="str">
        <x:v>HYL-018</x:v>
      </x:c>
      <x:c r="B22" s="30" t="str">
        <x:v>画面模糊</x:v>
      </x:c>
      <x:c r="C22" s="31" t="str">
        <x:v>HYL-018_blur.jpg</x:v>
      </x:c>
      <x:c r="D22" s="31" t="str">
        <x:v>未提供图片；预设流程验证</x:v>
      </x:c>
      <x:c r="E22" s="31" t="str">
        <x:v>不适用</x:v>
      </x:c>
      <x:c r="F22" s="30" t="str">
        <x:v>正常</x:v>
      </x:c>
      <x:c r="G22" s="30" t="str">
        <x:v>模糊</x:v>
      </x:c>
      <x:c r="H22" s="30" t="str">
        <x:v>无遮挡</x:v>
      </x:c>
      <x:c r="I22" s="30" t="str">
        <x:v>否</x:v>
      </x:c>
      <x:c r="J22" s="40" t="str">
        <x:v>无法判断</x:v>
      </x:c>
      <x:c r="K22" s="40" t="str">
        <x:v>不适用</x:v>
      </x:c>
      <x:c r="L22" s="40" t="str">
        <x:v>画面模糊</x:v>
      </x:c>
      <x:c r="M22" s="40" t="str">
        <x:v>画面模糊，请固定手机并重新对焦。</x:v>
      </x:c>
      <x:c r="N22" s="31" t="str">
        <x:v>无法测试</x:v>
      </x:c>
      <x:c r="O22" s="31" t="str">
        <x:v>不适用</x:v>
      </x:c>
      <x:c r="P22" s="31" t="str">
        <x:v>无对应预设</x:v>
      </x:c>
      <x:c r="Q22" s="31" t="str">
        <x:v>当前部署页没有画面模糊分支，也不会根据图片内容检测模糊。</x:v>
      </x:c>
      <x:c r="R22" s="31" t="str">
        <x:v>中文</x:v>
      </x:c>
      <x:c r="S22" s="31" t="str">
        <x:v>预设适配器（无AI）</x:v>
      </x:c>
      <x:c r="T22" s="31" t="str">
        <x:v>部署页与beauty-accessibility-upgrade@fb12690</x:v>
      </x:c>
      <x:c r="U22" s="46" t="n">
        <x:v>46302.479166666664</x:v>
      </x:c>
      <x:c r="V22" s="49"/>
      <x:c r="W22" s="43" t="str">
        <x:f>IF(N22="无法测试","无法测试",IF(N22="","待填写",IF(N22=J22,"正确","错误")))</x:f>
        <x:v>无法测试</x:v>
      </x:c>
      <x:c r="X22" s="43" t="str">
        <x:f>IF(N22="无法测试","无法测试",IF(N22="","待填写",IF(J22&lt;&gt;"检测到外溢","不适用",IF(AND(N22="检测到外溢",O22=K22),"正确","错误"))))</x:f>
        <x:v>无法测试</x:v>
      </x:c>
      <x:c r="Y22" s="43" t="str">
        <x:f>IF(N22="无法测试","无法测试",IF(N22="","待填写",IF(J22&lt;&gt;"无法判断","不适用",IF(AND(N22="无法判断",P22=L22),"正确","错误"))))</x:f>
        <x:v>无法测试</x:v>
      </x:c>
      <x:c r="Z22" s="43" t="str">
        <x:f>IF(N22="无法测试","无法测试",IF(N22="","待填写",IF(AND(W22="正确",OR(X22="正确",X22="不适用"),OR(Y22="正确",Y22="不适用"),R22="中文"),"通过","未通过")))</x:f>
        <x:v>无法测试</x:v>
      </x:c>
      <x:c r="AA22" s="32" t="str">
        <x:v>无法执行图像级测试：仓库没有模糊判断能力或对应预设分支。</x:v>
      </x:c>
    </x:row>
    <x:row r="23" ht="34" customHeight="1">
      <x:c r="A23" s="37" t="str">
        <x:v>HYL-019</x:v>
      </x:c>
      <x:c r="B23" s="30" t="str">
        <x:v>画面模糊</x:v>
      </x:c>
      <x:c r="C23" s="31" t="str">
        <x:v>HYL-019_blur.jpg</x:v>
      </x:c>
      <x:c r="D23" s="31" t="str">
        <x:v>未提供图片；预设流程验证</x:v>
      </x:c>
      <x:c r="E23" s="31" t="str">
        <x:v>不适用</x:v>
      </x:c>
      <x:c r="F23" s="30" t="str">
        <x:v>正常</x:v>
      </x:c>
      <x:c r="G23" s="30" t="str">
        <x:v>模糊</x:v>
      </x:c>
      <x:c r="H23" s="30" t="str">
        <x:v>无遮挡</x:v>
      </x:c>
      <x:c r="I23" s="30" t="str">
        <x:v>否</x:v>
      </x:c>
      <x:c r="J23" s="40" t="str">
        <x:v>无法判断</x:v>
      </x:c>
      <x:c r="K23" s="40" t="str">
        <x:v>不适用</x:v>
      </x:c>
      <x:c r="L23" s="40" t="str">
        <x:v>画面模糊</x:v>
      </x:c>
      <x:c r="M23" s="40" t="str">
        <x:v>画面模糊，请固定手机并重新对焦。</x:v>
      </x:c>
      <x:c r="N23" s="31" t="str">
        <x:v>无法测试</x:v>
      </x:c>
      <x:c r="O23" s="31" t="str">
        <x:v>不适用</x:v>
      </x:c>
      <x:c r="P23" s="31" t="str">
        <x:v>无对应预设</x:v>
      </x:c>
      <x:c r="Q23" s="31" t="str">
        <x:v>当前部署页没有画面模糊分支，也不会根据图片内容检测模糊。</x:v>
      </x:c>
      <x:c r="R23" s="31" t="str">
        <x:v>中文</x:v>
      </x:c>
      <x:c r="S23" s="31" t="str">
        <x:v>预设适配器（无AI）</x:v>
      </x:c>
      <x:c r="T23" s="31" t="str">
        <x:v>部署页与beauty-accessibility-upgrade@fb12690</x:v>
      </x:c>
      <x:c r="U23" s="46" t="n">
        <x:v>46302.479166666664</x:v>
      </x:c>
      <x:c r="V23" s="49"/>
      <x:c r="W23" s="43" t="str">
        <x:f>IF(N23="无法测试","无法测试",IF(N23="","待填写",IF(N23=J23,"正确","错误")))</x:f>
        <x:v>无法测试</x:v>
      </x:c>
      <x:c r="X23" s="43" t="str">
        <x:f>IF(N23="无法测试","无法测试",IF(N23="","待填写",IF(J23&lt;&gt;"检测到外溢","不适用",IF(AND(N23="检测到外溢",O23=K23),"正确","错误"))))</x:f>
        <x:v>无法测试</x:v>
      </x:c>
      <x:c r="Y23" s="43" t="str">
        <x:f>IF(N23="无法测试","无法测试",IF(N23="","待填写",IF(J23&lt;&gt;"无法判断","不适用",IF(AND(N23="无法判断",P23=L23),"正确","错误"))))</x:f>
        <x:v>无法测试</x:v>
      </x:c>
      <x:c r="Z23" s="43" t="str">
        <x:f>IF(N23="无法测试","无法测试",IF(N23="","待填写",IF(AND(W23="正确",OR(X23="正确",X23="不适用"),OR(Y23="正确",Y23="不适用"),R23="中文"),"通过","未通过")))</x:f>
        <x:v>无法测试</x:v>
      </x:c>
      <x:c r="AA23" s="32" t="str">
        <x:v>无法执行图像级测试：仓库没有模糊判断能力或对应预设分支。</x:v>
      </x:c>
    </x:row>
    <x:row r="24" ht="34" customHeight="1">
      <x:c r="A24" s="37" t="str">
        <x:v>HYL-020</x:v>
      </x:c>
      <x:c r="B24" s="30" t="str">
        <x:v>画面模糊</x:v>
      </x:c>
      <x:c r="C24" s="31" t="str">
        <x:v>HYL-020_blur.jpg</x:v>
      </x:c>
      <x:c r="D24" s="31" t="str">
        <x:v>未提供图片；预设流程验证</x:v>
      </x:c>
      <x:c r="E24" s="31" t="str">
        <x:v>不适用</x:v>
      </x:c>
      <x:c r="F24" s="30" t="str">
        <x:v>正常</x:v>
      </x:c>
      <x:c r="G24" s="30" t="str">
        <x:v>模糊</x:v>
      </x:c>
      <x:c r="H24" s="30" t="str">
        <x:v>无遮挡</x:v>
      </x:c>
      <x:c r="I24" s="30" t="str">
        <x:v>否</x:v>
      </x:c>
      <x:c r="J24" s="40" t="str">
        <x:v>无法判断</x:v>
      </x:c>
      <x:c r="K24" s="40" t="str">
        <x:v>不适用</x:v>
      </x:c>
      <x:c r="L24" s="40" t="str">
        <x:v>画面模糊</x:v>
      </x:c>
      <x:c r="M24" s="40" t="str">
        <x:v>画面模糊，请固定手机并重新对焦。</x:v>
      </x:c>
      <x:c r="N24" s="31" t="str">
        <x:v>无法测试</x:v>
      </x:c>
      <x:c r="O24" s="31" t="str">
        <x:v>不适用</x:v>
      </x:c>
      <x:c r="P24" s="31" t="str">
        <x:v>无对应预设</x:v>
      </x:c>
      <x:c r="Q24" s="31" t="str">
        <x:v>当前部署页没有画面模糊分支，也不会根据图片内容检测模糊。</x:v>
      </x:c>
      <x:c r="R24" s="31" t="str">
        <x:v>中文</x:v>
      </x:c>
      <x:c r="S24" s="31" t="str">
        <x:v>预设适配器（无AI）</x:v>
      </x:c>
      <x:c r="T24" s="31" t="str">
        <x:v>部署页与beauty-accessibility-upgrade@fb12690</x:v>
      </x:c>
      <x:c r="U24" s="46" t="n">
        <x:v>46302.479166666664</x:v>
      </x:c>
      <x:c r="V24" s="49"/>
      <x:c r="W24" s="43" t="str">
        <x:f>IF(N24="无法测试","无法测试",IF(N24="","待填写",IF(N24=J24,"正确","错误")))</x:f>
        <x:v>无法测试</x:v>
      </x:c>
      <x:c r="X24" s="43" t="str">
        <x:f>IF(N24="无法测试","无法测试",IF(N24="","待填写",IF(J24&lt;&gt;"检测到外溢","不适用",IF(AND(N24="检测到外溢",O24=K24),"正确","错误"))))</x:f>
        <x:v>无法测试</x:v>
      </x:c>
      <x:c r="Y24" s="43" t="str">
        <x:f>IF(N24="无法测试","无法测试",IF(N24="","待填写",IF(J24&lt;&gt;"无法判断","不适用",IF(AND(N24="无法判断",P24=L24),"正确","错误"))))</x:f>
        <x:v>无法测试</x:v>
      </x:c>
      <x:c r="Z24" s="43" t="str">
        <x:f>IF(N24="无法测试","无法测试",IF(N24="","待填写",IF(AND(W24="正确",OR(X24="正确",X24="不适用"),OR(Y24="正确",Y24="不适用"),R24="中文"),"通过","未通过")))</x:f>
        <x:v>无法测试</x:v>
      </x:c>
      <x:c r="AA24" s="32" t="str">
        <x:v>无法执行图像级测试：仓库没有模糊判断能力或对应预设分支。</x:v>
      </x:c>
    </x:row>
    <x:row r="25" ht="34" customHeight="1">
      <x:c r="A25" s="37" t="str">
        <x:v>HYL-021</x:v>
      </x:c>
      <x:c r="B25" s="30" t="str">
        <x:v>光线不足</x:v>
      </x:c>
      <x:c r="C25" s="31" t="str">
        <x:v>HYL-021_low_light.jpg</x:v>
      </x:c>
      <x:c r="D25" s="31" t="str">
        <x:v>未提供图片；预设流程验证</x:v>
      </x:c>
      <x:c r="E25" s="31" t="str">
        <x:v>不适用</x:v>
      </x:c>
      <x:c r="F25" s="30" t="str">
        <x:v>低光</x:v>
      </x:c>
      <x:c r="G25" s="30" t="str">
        <x:v>可辨</x:v>
      </x:c>
      <x:c r="H25" s="30" t="str">
        <x:v>无遮挡</x:v>
      </x:c>
      <x:c r="I25" s="30" t="str">
        <x:v>否</x:v>
      </x:c>
      <x:c r="J25" s="40" t="str">
        <x:v>无法判断</x:v>
      </x:c>
      <x:c r="K25" s="40" t="str">
        <x:v>不适用</x:v>
      </x:c>
      <x:c r="L25" s="40" t="str">
        <x:v>光线不足</x:v>
      </x:c>
      <x:c r="M25" s="40" t="str">
        <x:v>光线不足，请面向光源重新拍照。</x:v>
      </x:c>
      <x:c r="N25" s="31" t="str">
        <x:v>无法判断</x:v>
      </x:c>
      <x:c r="O25" s="31" t="str">
        <x:v>不适用</x:v>
      </x:c>
      <x:c r="P25" s="31" t="str">
        <x:v>光线不足</x:v>
      </x:c>
      <x:c r="Q25" s="31" t="str">
        <x:v>光线不足，暂时无法判断。请移到正面均匀照明的位置，避免背光。</x:v>
      </x:c>
      <x:c r="R25" s="31" t="str">
        <x:v>中文</x:v>
      </x:c>
      <x:c r="S25" s="31" t="str">
        <x:v>预设适配器（无AI）</x:v>
      </x:c>
      <x:c r="T25" s="31" t="str">
        <x:v>部署页与beauty-accessibility-upgrade@fb12690</x:v>
      </x:c>
      <x:c r="U25" s="46" t="n">
        <x:v>46302.479166666664</x:v>
      </x:c>
      <x:c r="V25" s="49" t="n">
        <x:v>900</x:v>
      </x:c>
      <x:c r="W25" s="43" t="str">
        <x:f>IF(N25="无法测试","无法测试",IF(N25="","待填写",IF(N25=J25,"正确","错误")))</x:f>
        <x:v>正确</x:v>
      </x:c>
      <x:c r="X25" s="43" t="str">
        <x:f>IF(N25="无法测试","无法测试",IF(N25="","待填写",IF(J25&lt;&gt;"检测到外溢","不适用",IF(AND(N25="检测到外溢",O25=K25),"正确","错误"))))</x:f>
        <x:v>不适用</x:v>
      </x:c>
      <x:c r="Y25" s="43" t="str">
        <x:f>IF(N25="无法测试","无法测试",IF(N25="","待填写",IF(J25&lt;&gt;"无法判断","不适用",IF(AND(N25="无法判断",P25=L25),"正确","错误"))))</x:f>
        <x:v>正确</x:v>
      </x:c>
      <x:c r="Z25" s="43" t="str">
        <x:f>IF(N25="无法测试","无法测试",IF(N25="","待填写",IF(AND(W25="正确",OR(X25="正确",X25="不适用"),OR(Y25="正确",Y25="不适用"),R25="中文"),"通过","未通过")))</x:f>
        <x:v>通过</x:v>
      </x:c>
      <x:c r="AA25" s="32" t="str">
        <x:v>部署页实测光线不足分支；结果由手动预设场景决定。</x:v>
      </x:c>
    </x:row>
    <x:row r="26" ht="34" customHeight="1">
      <x:c r="A26" s="37" t="str">
        <x:v>HYL-022</x:v>
      </x:c>
      <x:c r="B26" s="30" t="str">
        <x:v>光线不足</x:v>
      </x:c>
      <x:c r="C26" s="31" t="str">
        <x:v>HYL-022_low_light.jpg</x:v>
      </x:c>
      <x:c r="D26" s="31" t="str">
        <x:v>未提供图片；预设流程验证</x:v>
      </x:c>
      <x:c r="E26" s="31" t="str">
        <x:v>不适用</x:v>
      </x:c>
      <x:c r="F26" s="30" t="str">
        <x:v>低光</x:v>
      </x:c>
      <x:c r="G26" s="30" t="str">
        <x:v>可辨</x:v>
      </x:c>
      <x:c r="H26" s="30" t="str">
        <x:v>无遮挡</x:v>
      </x:c>
      <x:c r="I26" s="30" t="str">
        <x:v>否</x:v>
      </x:c>
      <x:c r="J26" s="40" t="str">
        <x:v>无法判断</x:v>
      </x:c>
      <x:c r="K26" s="40" t="str">
        <x:v>不适用</x:v>
      </x:c>
      <x:c r="L26" s="40" t="str">
        <x:v>光线不足</x:v>
      </x:c>
      <x:c r="M26" s="40" t="str">
        <x:v>光线不足，请面向光源重新拍照。</x:v>
      </x:c>
      <x:c r="N26" s="31" t="str">
        <x:v>无法判断</x:v>
      </x:c>
      <x:c r="O26" s="31" t="str">
        <x:v>不适用</x:v>
      </x:c>
      <x:c r="P26" s="31" t="str">
        <x:v>光线不足</x:v>
      </x:c>
      <x:c r="Q26" s="31" t="str">
        <x:v>光线不足，暂时无法判断。请移到正面均匀照明的位置，避免背光。</x:v>
      </x:c>
      <x:c r="R26" s="31" t="str">
        <x:v>中文</x:v>
      </x:c>
      <x:c r="S26" s="31" t="str">
        <x:v>预设适配器（无AI）</x:v>
      </x:c>
      <x:c r="T26" s="31" t="str">
        <x:v>部署页与beauty-accessibility-upgrade@fb12690</x:v>
      </x:c>
      <x:c r="U26" s="46" t="n">
        <x:v>46302.479166666664</x:v>
      </x:c>
      <x:c r="V26" s="49" t="n">
        <x:v>900</x:v>
      </x:c>
      <x:c r="W26" s="43" t="str">
        <x:f>IF(N26="无法测试","无法测试",IF(N26="","待填写",IF(N26=J26,"正确","错误")))</x:f>
        <x:v>正确</x:v>
      </x:c>
      <x:c r="X26" s="43" t="str">
        <x:f>IF(N26="无法测试","无法测试",IF(N26="","待填写",IF(J26&lt;&gt;"检测到外溢","不适用",IF(AND(N26="检测到外溢",O26=K26),"正确","错误"))))</x:f>
        <x:v>不适用</x:v>
      </x:c>
      <x:c r="Y26" s="43" t="str">
        <x:f>IF(N26="无法测试","无法测试",IF(N26="","待填写",IF(J26&lt;&gt;"无法判断","不适用",IF(AND(N26="无法判断",P26=L26),"正确","错误"))))</x:f>
        <x:v>正确</x:v>
      </x:c>
      <x:c r="Z26" s="43" t="str">
        <x:f>IF(N26="无法测试","无法测试",IF(N26="","待填写",IF(AND(W26="正确",OR(X26="正确",X26="不适用"),OR(Y26="正确",Y26="不适用"),R26="中文"),"通过","未通过")))</x:f>
        <x:v>通过</x:v>
      </x:c>
      <x:c r="AA26" s="32" t="str">
        <x:v>部署页实测光线不足分支；结果由手动预设场景决定。</x:v>
      </x:c>
    </x:row>
    <x:row r="27" ht="34" customHeight="1">
      <x:c r="A27" s="37" t="str">
        <x:v>HYL-023</x:v>
      </x:c>
      <x:c r="B27" s="30" t="str">
        <x:v>光线不足</x:v>
      </x:c>
      <x:c r="C27" s="31" t="str">
        <x:v>HYL-023_low_light.jpg</x:v>
      </x:c>
      <x:c r="D27" s="31" t="str">
        <x:v>未提供图片；预设流程验证</x:v>
      </x:c>
      <x:c r="E27" s="31" t="str">
        <x:v>不适用</x:v>
      </x:c>
      <x:c r="F27" s="30" t="str">
        <x:v>低光</x:v>
      </x:c>
      <x:c r="G27" s="30" t="str">
        <x:v>可辨</x:v>
      </x:c>
      <x:c r="H27" s="30" t="str">
        <x:v>无遮挡</x:v>
      </x:c>
      <x:c r="I27" s="30" t="str">
        <x:v>否</x:v>
      </x:c>
      <x:c r="J27" s="40" t="str">
        <x:v>无法判断</x:v>
      </x:c>
      <x:c r="K27" s="40" t="str">
        <x:v>不适用</x:v>
      </x:c>
      <x:c r="L27" s="40" t="str">
        <x:v>光线不足</x:v>
      </x:c>
      <x:c r="M27" s="40" t="str">
        <x:v>光线不足，请面向光源重新拍照。</x:v>
      </x:c>
      <x:c r="N27" s="31" t="str">
        <x:v>无法判断</x:v>
      </x:c>
      <x:c r="O27" s="31" t="str">
        <x:v>不适用</x:v>
      </x:c>
      <x:c r="P27" s="31" t="str">
        <x:v>光线不足</x:v>
      </x:c>
      <x:c r="Q27" s="31" t="str">
        <x:v>光线不足，暂时无法判断。请移到正面均匀照明的位置，避免背光。</x:v>
      </x:c>
      <x:c r="R27" s="31" t="str">
        <x:v>中文</x:v>
      </x:c>
      <x:c r="S27" s="31" t="str">
        <x:v>预设适配器（无AI）</x:v>
      </x:c>
      <x:c r="T27" s="31" t="str">
        <x:v>部署页与beauty-accessibility-upgrade@fb12690</x:v>
      </x:c>
      <x:c r="U27" s="46" t="n">
        <x:v>46302.479166666664</x:v>
      </x:c>
      <x:c r="V27" s="49" t="n">
        <x:v>900</x:v>
      </x:c>
      <x:c r="W27" s="43" t="str">
        <x:f>IF(N27="无法测试","无法测试",IF(N27="","待填写",IF(N27=J27,"正确","错误")))</x:f>
        <x:v>正确</x:v>
      </x:c>
      <x:c r="X27" s="43" t="str">
        <x:f>IF(N27="无法测试","无法测试",IF(N27="","待填写",IF(J27&lt;&gt;"检测到外溢","不适用",IF(AND(N27="检测到外溢",O27=K27),"正确","错误"))))</x:f>
        <x:v>不适用</x:v>
      </x:c>
      <x:c r="Y27" s="43" t="str">
        <x:f>IF(N27="无法测试","无法测试",IF(N27="","待填写",IF(J27&lt;&gt;"无法判断","不适用",IF(AND(N27="无法判断",P27=L27),"正确","错误"))))</x:f>
        <x:v>正确</x:v>
      </x:c>
      <x:c r="Z27" s="43" t="str">
        <x:f>IF(N27="无法测试","无法测试",IF(N27="","待填写",IF(AND(W27="正确",OR(X27="正确",X27="不适用"),OR(Y27="正确",Y27="不适用"),R27="中文"),"通过","未通过")))</x:f>
        <x:v>通过</x:v>
      </x:c>
      <x:c r="AA27" s="32" t="str">
        <x:v>部署页实测光线不足分支；结果由手动预设场景决定。</x:v>
      </x:c>
    </x:row>
    <x:row r="28" ht="34" customHeight="1">
      <x:c r="A28" s="37" t="str">
        <x:v>HYL-024</x:v>
      </x:c>
      <x:c r="B28" s="30" t="str">
        <x:v>光线不足</x:v>
      </x:c>
      <x:c r="C28" s="31" t="str">
        <x:v>HYL-024_low_light.jpg</x:v>
      </x:c>
      <x:c r="D28" s="31" t="str">
        <x:v>未提供图片；预设流程验证</x:v>
      </x:c>
      <x:c r="E28" s="31" t="str">
        <x:v>不适用</x:v>
      </x:c>
      <x:c r="F28" s="30" t="str">
        <x:v>低光</x:v>
      </x:c>
      <x:c r="G28" s="30" t="str">
        <x:v>可辨</x:v>
      </x:c>
      <x:c r="H28" s="30" t="str">
        <x:v>无遮挡</x:v>
      </x:c>
      <x:c r="I28" s="30" t="str">
        <x:v>否</x:v>
      </x:c>
      <x:c r="J28" s="40" t="str">
        <x:v>无法判断</x:v>
      </x:c>
      <x:c r="K28" s="40" t="str">
        <x:v>不适用</x:v>
      </x:c>
      <x:c r="L28" s="40" t="str">
        <x:v>光线不足</x:v>
      </x:c>
      <x:c r="M28" s="40" t="str">
        <x:v>光线不足，请面向光源重新拍照。</x:v>
      </x:c>
      <x:c r="N28" s="31" t="str">
        <x:v>无法判断</x:v>
      </x:c>
      <x:c r="O28" s="31" t="str">
        <x:v>不适用</x:v>
      </x:c>
      <x:c r="P28" s="31" t="str">
        <x:v>光线不足</x:v>
      </x:c>
      <x:c r="Q28" s="31" t="str">
        <x:v>光线不足，暂时无法判断。请移到正面均匀照明的位置，避免背光。</x:v>
      </x:c>
      <x:c r="R28" s="31" t="str">
        <x:v>中文</x:v>
      </x:c>
      <x:c r="S28" s="31" t="str">
        <x:v>预设适配器（无AI）</x:v>
      </x:c>
      <x:c r="T28" s="31" t="str">
        <x:v>部署页与beauty-accessibility-upgrade@fb12690</x:v>
      </x:c>
      <x:c r="U28" s="46" t="n">
        <x:v>46302.479166666664</x:v>
      </x:c>
      <x:c r="V28" s="49" t="n">
        <x:v>900</x:v>
      </x:c>
      <x:c r="W28" s="43" t="str">
        <x:f>IF(N28="无法测试","无法测试",IF(N28="","待填写",IF(N28=J28,"正确","错误")))</x:f>
        <x:v>正确</x:v>
      </x:c>
      <x:c r="X28" s="43" t="str">
        <x:f>IF(N28="无法测试","无法测试",IF(N28="","待填写",IF(J28&lt;&gt;"检测到外溢","不适用",IF(AND(N28="检测到外溢",O28=K28),"正确","错误"))))</x:f>
        <x:v>不适用</x:v>
      </x:c>
      <x:c r="Y28" s="43" t="str">
        <x:f>IF(N28="无法测试","无法测试",IF(N28="","待填写",IF(J28&lt;&gt;"无法判断","不适用",IF(AND(N28="无法判断",P28=L28),"正确","错误"))))</x:f>
        <x:v>正确</x:v>
      </x:c>
      <x:c r="Z28" s="43" t="str">
        <x:f>IF(N28="无法测试","无法测试",IF(N28="","待填写",IF(AND(W28="正确",OR(X28="正确",X28="不适用"),OR(Y28="正确",Y28="不适用"),R28="中文"),"通过","未通过")))</x:f>
        <x:v>通过</x:v>
      </x:c>
      <x:c r="AA28" s="32" t="str">
        <x:v>部署页实测光线不足分支；结果由手动预设场景决定。</x:v>
      </x:c>
    </x:row>
    <x:row r="29" ht="34" customHeight="1">
      <x:c r="A29" s="37" t="str">
        <x:v>HYL-025</x:v>
      </x:c>
      <x:c r="B29" s="30" t="str">
        <x:v>光线不足</x:v>
      </x:c>
      <x:c r="C29" s="31" t="str">
        <x:v>HYL-025_low_light.jpg</x:v>
      </x:c>
      <x:c r="D29" s="31" t="str">
        <x:v>未提供图片；预设流程验证</x:v>
      </x:c>
      <x:c r="E29" s="31" t="str">
        <x:v>不适用</x:v>
      </x:c>
      <x:c r="F29" s="30" t="str">
        <x:v>低光</x:v>
      </x:c>
      <x:c r="G29" s="30" t="str">
        <x:v>可辨</x:v>
      </x:c>
      <x:c r="H29" s="30" t="str">
        <x:v>无遮挡</x:v>
      </x:c>
      <x:c r="I29" s="30" t="str">
        <x:v>否</x:v>
      </x:c>
      <x:c r="J29" s="40" t="str">
        <x:v>无法判断</x:v>
      </x:c>
      <x:c r="K29" s="40" t="str">
        <x:v>不适用</x:v>
      </x:c>
      <x:c r="L29" s="40" t="str">
        <x:v>光线不足</x:v>
      </x:c>
      <x:c r="M29" s="40" t="str">
        <x:v>光线不足，请面向光源重新拍照。</x:v>
      </x:c>
      <x:c r="N29" s="31" t="str">
        <x:v>无法判断</x:v>
      </x:c>
      <x:c r="O29" s="31" t="str">
        <x:v>不适用</x:v>
      </x:c>
      <x:c r="P29" s="31" t="str">
        <x:v>光线不足</x:v>
      </x:c>
      <x:c r="Q29" s="31" t="str">
        <x:v>光线不足，暂时无法判断。请移到正面均匀照明的位置，避免背光。</x:v>
      </x:c>
      <x:c r="R29" s="31" t="str">
        <x:v>中文</x:v>
      </x:c>
      <x:c r="S29" s="31" t="str">
        <x:v>预设适配器（无AI）</x:v>
      </x:c>
      <x:c r="T29" s="31" t="str">
        <x:v>部署页与beauty-accessibility-upgrade@fb12690</x:v>
      </x:c>
      <x:c r="U29" s="46" t="n">
        <x:v>46302.479166666664</x:v>
      </x:c>
      <x:c r="V29" s="49" t="n">
        <x:v>900</x:v>
      </x:c>
      <x:c r="W29" s="43" t="str">
        <x:f>IF(N29="无法测试","无法测试",IF(N29="","待填写",IF(N29=J29,"正确","错误")))</x:f>
        <x:v>正确</x:v>
      </x:c>
      <x:c r="X29" s="43" t="str">
        <x:f>IF(N29="无法测试","无法测试",IF(N29="","待填写",IF(J29&lt;&gt;"检测到外溢","不适用",IF(AND(N29="检测到外溢",O29=K29),"正确","错误"))))</x:f>
        <x:v>不适用</x:v>
      </x:c>
      <x:c r="Y29" s="43" t="str">
        <x:f>IF(N29="无法测试","无法测试",IF(N29="","待填写",IF(J29&lt;&gt;"无法判断","不适用",IF(AND(N29="无法判断",P29=L29),"正确","错误"))))</x:f>
        <x:v>正确</x:v>
      </x:c>
      <x:c r="Z29" s="43" t="str">
        <x:f>IF(N29="无法测试","无法测试",IF(N29="","待填写",IF(AND(W29="正确",OR(X29="正确",X29="不适用"),OR(Y29="正确",Y29="不适用"),R29="中文"),"通过","未通过")))</x:f>
        <x:v>通过</x:v>
      </x:c>
      <x:c r="AA29" s="32" t="str">
        <x:v>部署页实测光线不足分支；结果由手动预设场景决定。</x:v>
      </x:c>
    </x:row>
    <x:row r="30" ht="34" customHeight="1">
      <x:c r="A30" s="37" t="str">
        <x:v>HYL-026</x:v>
      </x:c>
      <x:c r="B30" s="30" t="str">
        <x:v>嘴部遮挡</x:v>
      </x:c>
      <x:c r="C30" s="31" t="str">
        <x:v>HYL-026_occlusion.jpg</x:v>
      </x:c>
      <x:c r="D30" s="31" t="str">
        <x:v>未提供图片；预设流程验证</x:v>
      </x:c>
      <x:c r="E30" s="31" t="str">
        <x:v>不适用</x:v>
      </x:c>
      <x:c r="F30" s="30" t="str">
        <x:v>正常</x:v>
      </x:c>
      <x:c r="G30" s="30" t="str">
        <x:v>清晰</x:v>
      </x:c>
      <x:c r="H30" s="30" t="str">
        <x:v>手指或物体遮挡</x:v>
      </x:c>
      <x:c r="I30" s="30" t="str">
        <x:v>否</x:v>
      </x:c>
      <x:c r="J30" s="40" t="str">
        <x:v>无法判断</x:v>
      </x:c>
      <x:c r="K30" s="40" t="str">
        <x:v>不适用</x:v>
      </x:c>
      <x:c r="L30" s="40" t="str">
        <x:v>嘴部遮挡</x:v>
      </x:c>
      <x:c r="M30" s="40" t="str">
        <x:v>嘴部被遮挡，请移开手指并重新拍照。</x:v>
      </x:c>
      <x:c r="N30" s="31" t="str">
        <x:v>无法测试</x:v>
      </x:c>
      <x:c r="O30" s="31" t="str">
        <x:v>不适用</x:v>
      </x:c>
      <x:c r="P30" s="31" t="str">
        <x:v>无对应预设</x:v>
      </x:c>
      <x:c r="Q30" s="31" t="str">
        <x:v>当前部署页没有嘴部遮挡分支，也不会根据图片内容检测遮挡。</x:v>
      </x:c>
      <x:c r="R30" s="31" t="str">
        <x:v>中文</x:v>
      </x:c>
      <x:c r="S30" s="31" t="str">
        <x:v>预设适配器（无AI）</x:v>
      </x:c>
      <x:c r="T30" s="31" t="str">
        <x:v>部署页与beauty-accessibility-upgrade@fb12690</x:v>
      </x:c>
      <x:c r="U30" s="46" t="n">
        <x:v>46302.479166666664</x:v>
      </x:c>
      <x:c r="V30" s="49"/>
      <x:c r="W30" s="43" t="str">
        <x:f>IF(N30="无法测试","无法测试",IF(N30="","待填写",IF(N30=J30,"正确","错误")))</x:f>
        <x:v>无法测试</x:v>
      </x:c>
      <x:c r="X30" s="43" t="str">
        <x:f>IF(N30="无法测试","无法测试",IF(N30="","待填写",IF(J30&lt;&gt;"检测到外溢","不适用",IF(AND(N30="检测到外溢",O30=K30),"正确","错误"))))</x:f>
        <x:v>无法测试</x:v>
      </x:c>
      <x:c r="Y30" s="43" t="str">
        <x:f>IF(N30="无法测试","无法测试",IF(N30="","待填写",IF(J30&lt;&gt;"无法判断","不适用",IF(AND(N30="无法判断",P30=L30),"正确","错误"))))</x:f>
        <x:v>无法测试</x:v>
      </x:c>
      <x:c r="Z30" s="43" t="str">
        <x:f>IF(N30="无法测试","无法测试",IF(N30="","待填写",IF(AND(W30="正确",OR(X30="正确",X30="不适用"),OR(Y30="正确",Y30="不适用"),R30="中文"),"通过","未通过")))</x:f>
        <x:v>无法测试</x:v>
      </x:c>
      <x:c r="AA30" s="32" t="str">
        <x:v>无法执行图像级测试：仓库没有嘴部完整性门槛或对应预设分支。</x:v>
      </x:c>
    </x:row>
    <x:row r="31" ht="34" customHeight="1">
      <x:c r="A31" s="37" t="str">
        <x:v>HYL-027</x:v>
      </x:c>
      <x:c r="B31" s="30" t="str">
        <x:v>嘴部遮挡</x:v>
      </x:c>
      <x:c r="C31" s="31" t="str">
        <x:v>HYL-027_occlusion.jpg</x:v>
      </x:c>
      <x:c r="D31" s="31" t="str">
        <x:v>未提供图片；预设流程验证</x:v>
      </x:c>
      <x:c r="E31" s="31" t="str">
        <x:v>不适用</x:v>
      </x:c>
      <x:c r="F31" s="30" t="str">
        <x:v>正常</x:v>
      </x:c>
      <x:c r="G31" s="30" t="str">
        <x:v>清晰</x:v>
      </x:c>
      <x:c r="H31" s="30" t="str">
        <x:v>手指或物体遮挡</x:v>
      </x:c>
      <x:c r="I31" s="30" t="str">
        <x:v>否</x:v>
      </x:c>
      <x:c r="J31" s="40" t="str">
        <x:v>无法判断</x:v>
      </x:c>
      <x:c r="K31" s="40" t="str">
        <x:v>不适用</x:v>
      </x:c>
      <x:c r="L31" s="40" t="str">
        <x:v>嘴部遮挡</x:v>
      </x:c>
      <x:c r="M31" s="40" t="str">
        <x:v>嘴部被遮挡，请移开手指并重新拍照。</x:v>
      </x:c>
      <x:c r="N31" s="31" t="str">
        <x:v>无法测试</x:v>
      </x:c>
      <x:c r="O31" s="31" t="str">
        <x:v>不适用</x:v>
      </x:c>
      <x:c r="P31" s="31" t="str">
        <x:v>无对应预设</x:v>
      </x:c>
      <x:c r="Q31" s="31" t="str">
        <x:v>当前部署页没有嘴部遮挡分支，也不会根据图片内容检测遮挡。</x:v>
      </x:c>
      <x:c r="R31" s="31" t="str">
        <x:v>中文</x:v>
      </x:c>
      <x:c r="S31" s="31" t="str">
        <x:v>预设适配器（无AI）</x:v>
      </x:c>
      <x:c r="T31" s="31" t="str">
        <x:v>部署页与beauty-accessibility-upgrade@fb12690</x:v>
      </x:c>
      <x:c r="U31" s="46" t="n">
        <x:v>46302.479166666664</x:v>
      </x:c>
      <x:c r="V31" s="49"/>
      <x:c r="W31" s="43" t="str">
        <x:f>IF(N31="无法测试","无法测试",IF(N31="","待填写",IF(N31=J31,"正确","错误")))</x:f>
        <x:v>无法测试</x:v>
      </x:c>
      <x:c r="X31" s="43" t="str">
        <x:f>IF(N31="无法测试","无法测试",IF(N31="","待填写",IF(J31&lt;&gt;"检测到外溢","不适用",IF(AND(N31="检测到外溢",O31=K31),"正确","错误"))))</x:f>
        <x:v>无法测试</x:v>
      </x:c>
      <x:c r="Y31" s="43" t="str">
        <x:f>IF(N31="无法测试","无法测试",IF(N31="","待填写",IF(J31&lt;&gt;"无法判断","不适用",IF(AND(N31="无法判断",P31=L31),"正确","错误"))))</x:f>
        <x:v>无法测试</x:v>
      </x:c>
      <x:c r="Z31" s="43" t="str">
        <x:f>IF(N31="无法测试","无法测试",IF(N31="","待填写",IF(AND(W31="正确",OR(X31="正确",X31="不适用"),OR(Y31="正确",Y31="不适用"),R31="中文"),"通过","未通过")))</x:f>
        <x:v>无法测试</x:v>
      </x:c>
      <x:c r="AA31" s="32" t="str">
        <x:v>无法执行图像级测试：仓库没有嘴部完整性门槛或对应预设分支。</x:v>
      </x:c>
    </x:row>
    <x:row r="32" ht="34" customHeight="1">
      <x:c r="A32" s="37" t="str">
        <x:v>HYL-028</x:v>
      </x:c>
      <x:c r="B32" s="30" t="str">
        <x:v>嘴部遮挡</x:v>
      </x:c>
      <x:c r="C32" s="31" t="str">
        <x:v>HYL-028_occlusion.jpg</x:v>
      </x:c>
      <x:c r="D32" s="31" t="str">
        <x:v>未提供图片；预设流程验证</x:v>
      </x:c>
      <x:c r="E32" s="31" t="str">
        <x:v>不适用</x:v>
      </x:c>
      <x:c r="F32" s="30" t="str">
        <x:v>正常</x:v>
      </x:c>
      <x:c r="G32" s="30" t="str">
        <x:v>清晰</x:v>
      </x:c>
      <x:c r="H32" s="30" t="str">
        <x:v>手指或物体遮挡</x:v>
      </x:c>
      <x:c r="I32" s="30" t="str">
        <x:v>否</x:v>
      </x:c>
      <x:c r="J32" s="40" t="str">
        <x:v>无法判断</x:v>
      </x:c>
      <x:c r="K32" s="40" t="str">
        <x:v>不适用</x:v>
      </x:c>
      <x:c r="L32" s="40" t="str">
        <x:v>嘴部遮挡</x:v>
      </x:c>
      <x:c r="M32" s="40" t="str">
        <x:v>嘴部被遮挡，请移开手指并重新拍照。</x:v>
      </x:c>
      <x:c r="N32" s="31" t="str">
        <x:v>无法测试</x:v>
      </x:c>
      <x:c r="O32" s="31" t="str">
        <x:v>不适用</x:v>
      </x:c>
      <x:c r="P32" s="31" t="str">
        <x:v>无对应预设</x:v>
      </x:c>
      <x:c r="Q32" s="31" t="str">
        <x:v>当前部署页没有嘴部遮挡分支，也不会根据图片内容检测遮挡。</x:v>
      </x:c>
      <x:c r="R32" s="31" t="str">
        <x:v>中文</x:v>
      </x:c>
      <x:c r="S32" s="31" t="str">
        <x:v>预设适配器（无AI）</x:v>
      </x:c>
      <x:c r="T32" s="31" t="str">
        <x:v>部署页与beauty-accessibility-upgrade@fb12690</x:v>
      </x:c>
      <x:c r="U32" s="46" t="n">
        <x:v>46302.479166666664</x:v>
      </x:c>
      <x:c r="V32" s="49"/>
      <x:c r="W32" s="43" t="str">
        <x:f>IF(N32="无法测试","无法测试",IF(N32="","待填写",IF(N32=J32,"正确","错误")))</x:f>
        <x:v>无法测试</x:v>
      </x:c>
      <x:c r="X32" s="43" t="str">
        <x:f>IF(N32="无法测试","无法测试",IF(N32="","待填写",IF(J32&lt;&gt;"检测到外溢","不适用",IF(AND(N32="检测到外溢",O32=K32),"正确","错误"))))</x:f>
        <x:v>无法测试</x:v>
      </x:c>
      <x:c r="Y32" s="43" t="str">
        <x:f>IF(N32="无法测试","无法测试",IF(N32="","待填写",IF(J32&lt;&gt;"无法判断","不适用",IF(AND(N32="无法判断",P32=L32),"正确","错误"))))</x:f>
        <x:v>无法测试</x:v>
      </x:c>
      <x:c r="Z32" s="43" t="str">
        <x:f>IF(N32="无法测试","无法测试",IF(N32="","待填写",IF(AND(W32="正确",OR(X32="正确",X32="不适用"),OR(Y32="正确",Y32="不适用"),R32="中文"),"通过","未通过")))</x:f>
        <x:v>无法测试</x:v>
      </x:c>
      <x:c r="AA32" s="32" t="str">
        <x:v>无法执行图像级测试：仓库没有嘴部完整性门槛或对应预设分支。</x:v>
      </x:c>
    </x:row>
    <x:row r="33" ht="34" customHeight="1">
      <x:c r="A33" s="37" t="str">
        <x:v>HYL-029</x:v>
      </x:c>
      <x:c r="B33" s="30" t="str">
        <x:v>嘴部遮挡</x:v>
      </x:c>
      <x:c r="C33" s="31" t="str">
        <x:v>HYL-029_occlusion.jpg</x:v>
      </x:c>
      <x:c r="D33" s="31" t="str">
        <x:v>未提供图片；预设流程验证</x:v>
      </x:c>
      <x:c r="E33" s="31" t="str">
        <x:v>不适用</x:v>
      </x:c>
      <x:c r="F33" s="30" t="str">
        <x:v>正常</x:v>
      </x:c>
      <x:c r="G33" s="30" t="str">
        <x:v>清晰</x:v>
      </x:c>
      <x:c r="H33" s="30" t="str">
        <x:v>手指或物体遮挡</x:v>
      </x:c>
      <x:c r="I33" s="30" t="str">
        <x:v>否</x:v>
      </x:c>
      <x:c r="J33" s="40" t="str">
        <x:v>无法判断</x:v>
      </x:c>
      <x:c r="K33" s="40" t="str">
        <x:v>不适用</x:v>
      </x:c>
      <x:c r="L33" s="40" t="str">
        <x:v>嘴部遮挡</x:v>
      </x:c>
      <x:c r="M33" s="40" t="str">
        <x:v>嘴部被遮挡，请移开手指并重新拍照。</x:v>
      </x:c>
      <x:c r="N33" s="31" t="str">
        <x:v>无法测试</x:v>
      </x:c>
      <x:c r="O33" s="31" t="str">
        <x:v>不适用</x:v>
      </x:c>
      <x:c r="P33" s="31" t="str">
        <x:v>无对应预设</x:v>
      </x:c>
      <x:c r="Q33" s="31" t="str">
        <x:v>当前部署页没有嘴部遮挡分支，也不会根据图片内容检测遮挡。</x:v>
      </x:c>
      <x:c r="R33" s="31" t="str">
        <x:v>中文</x:v>
      </x:c>
      <x:c r="S33" s="31" t="str">
        <x:v>预设适配器（无AI）</x:v>
      </x:c>
      <x:c r="T33" s="31" t="str">
        <x:v>部署页与beauty-accessibility-upgrade@fb12690</x:v>
      </x:c>
      <x:c r="U33" s="46" t="n">
        <x:v>46302.479166666664</x:v>
      </x:c>
      <x:c r="V33" s="49"/>
      <x:c r="W33" s="43" t="str">
        <x:f>IF(N33="无法测试","无法测试",IF(N33="","待填写",IF(N33=J33,"正确","错误")))</x:f>
        <x:v>无法测试</x:v>
      </x:c>
      <x:c r="X33" s="43" t="str">
        <x:f>IF(N33="无法测试","无法测试",IF(N33="","待填写",IF(J33&lt;&gt;"检测到外溢","不适用",IF(AND(N33="检测到外溢",O33=K33),"正确","错误"))))</x:f>
        <x:v>无法测试</x:v>
      </x:c>
      <x:c r="Y33" s="43" t="str">
        <x:f>IF(N33="无法测试","无法测试",IF(N33="","待填写",IF(J33&lt;&gt;"无法判断","不适用",IF(AND(N33="无法判断",P33=L33),"正确","错误"))))</x:f>
        <x:v>无法测试</x:v>
      </x:c>
      <x:c r="Z33" s="43" t="str">
        <x:f>IF(N33="无法测试","无法测试",IF(N33="","待填写",IF(AND(W33="正确",OR(X33="正确",X33="不适用"),OR(Y33="正确",Y33="不适用"),R33="中文"),"通过","未通过")))</x:f>
        <x:v>无法测试</x:v>
      </x:c>
      <x:c r="AA33" s="32" t="str">
        <x:v>无法执行图像级测试：仓库没有嘴部完整性门槛或对应预设分支。</x:v>
      </x:c>
    </x:row>
    <x:row r="34" ht="34" customHeight="1">
      <x:c r="A34" s="38" t="str">
        <x:v>HYL-030</x:v>
      </x:c>
      <x:c r="B34" s="33" t="str">
        <x:v>嘴部遮挡</x:v>
      </x:c>
      <x:c r="C34" s="34" t="str">
        <x:v>HYL-030_occlusion.jpg</x:v>
      </x:c>
      <x:c r="D34" s="34" t="str">
        <x:v>未提供图片；预设流程验证</x:v>
      </x:c>
      <x:c r="E34" s="34" t="str">
        <x:v>不适用</x:v>
      </x:c>
      <x:c r="F34" s="33" t="str">
        <x:v>正常</x:v>
      </x:c>
      <x:c r="G34" s="33" t="str">
        <x:v>清晰</x:v>
      </x:c>
      <x:c r="H34" s="33" t="str">
        <x:v>手指或物体遮挡</x:v>
      </x:c>
      <x:c r="I34" s="33" t="str">
        <x:v>否</x:v>
      </x:c>
      <x:c r="J34" s="41" t="str">
        <x:v>无法判断</x:v>
      </x:c>
      <x:c r="K34" s="41" t="str">
        <x:v>不适用</x:v>
      </x:c>
      <x:c r="L34" s="41" t="str">
        <x:v>嘴部遮挡</x:v>
      </x:c>
      <x:c r="M34" s="41" t="str">
        <x:v>嘴部被遮挡，请移开手指并重新拍照。</x:v>
      </x:c>
      <x:c r="N34" s="34" t="str">
        <x:v>无法测试</x:v>
      </x:c>
      <x:c r="O34" s="34" t="str">
        <x:v>不适用</x:v>
      </x:c>
      <x:c r="P34" s="34" t="str">
        <x:v>无对应预设</x:v>
      </x:c>
      <x:c r="Q34" s="34" t="str">
        <x:v>当前部署页没有嘴部遮挡分支，也不会根据图片内容检测遮挡。</x:v>
      </x:c>
      <x:c r="R34" s="34" t="str">
        <x:v>中文</x:v>
      </x:c>
      <x:c r="S34" s="34" t="str">
        <x:v>预设适配器（无AI）</x:v>
      </x:c>
      <x:c r="T34" s="34" t="str">
        <x:v>部署页与beauty-accessibility-upgrade@fb12690</x:v>
      </x:c>
      <x:c r="U34" s="47" t="n">
        <x:v>46302.479166666664</x:v>
      </x:c>
      <x:c r="V34" s="50"/>
      <x:c r="W34" s="44" t="str">
        <x:f>IF(N34="无法测试","无法测试",IF(N34="","待填写",IF(N34=J34,"正确","错误")))</x:f>
        <x:v>无法测试</x:v>
      </x:c>
      <x:c r="X34" s="44" t="str">
        <x:f>IF(N34="无法测试","无法测试",IF(N34="","待填写",IF(J34&lt;&gt;"检测到外溢","不适用",IF(AND(N34="检测到外溢",O34=K34),"正确","错误"))))</x:f>
        <x:v>无法测试</x:v>
      </x:c>
      <x:c r="Y34" s="44" t="str">
        <x:f>IF(N34="无法测试","无法测试",IF(N34="","待填写",IF(J34&lt;&gt;"无法判断","不适用",IF(AND(N34="无法判断",P34=L34),"正确","错误"))))</x:f>
        <x:v>无法测试</x:v>
      </x:c>
      <x:c r="Z34" s="44" t="str">
        <x:f>IF(N34="无法测试","无法测试",IF(N34="","待填写",IF(AND(W34="正确",OR(X34="正确",X34="不适用"),OR(Y34="正确",Y34="不适用"),R34="中文"),"通过","未通过")))</x:f>
        <x:v>无法测试</x:v>
      </x:c>
      <x:c r="AA34" s="35" t="str">
        <x:v>无法执行图像级测试：仓库没有嘴部完整性门槛或对应预设分支。</x:v>
      </x:c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conditionalFormatting sqref="W5:Y34">
    <x:cfRule type="containsText" dxfId="2" priority="3" operator="containsText" text="错误"/>
  </x:conditionalFormatting>
  <x:conditionalFormatting sqref="Z5:Z34">
    <x:cfRule type="containsText" dxfId="3" priority="4" operator="containsText" text="通过"/>
    <x:cfRule type="containsText" dxfId="4" priority="5" operator="containsText" text="未通过"/>
    <x:cfRule type="containsText" dxfId="5" priority="6" operator="containsText" text="无法测试"/>
  </x:conditionalFormatting>
  <x:dataValidations count="6">
    <x:dataValidation type="list" sqref="E5:E34">
      <x:formula1>"已授权,自制/合成,未确认"</x:formula1>
    </x:dataValidation>
    <x:dataValidation type="list" sqref="N5:N34">
      <x:formula1>"未见明显外溢,检测到外溢,无法判断"</x:formula1>
    </x:dataValidation>
    <x:dataValidation type="list" sqref="O5:O34">
      <x:formula1>"用户左侧,用户右侧,不适用,未说明"</x:formula1>
    </x:dataValidation>
    <x:dataValidation type="list" sqref="P5:P34">
      <x:formula1>"不适用,画面模糊,光线不足,嘴部遮挡,其他,未说明"</x:formula1>
    </x:dataValidation>
    <x:dataValidation type="list" sqref="R5:R34">
      <x:formula1>"中文,英文,中英混合,其他"</x:formula1>
    </x:dataValidation>
    <x:dataValidation type="whole" operator="between" sqref="V5:V34">
      <x:formula1>0</x:formula1>
      <x:formula2>120000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d67f957e16f4a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28" hidden="0" customWidth="1"/>
  </x:cols>
  <x:sheetData>
    <x:row r="1">
      <x:c r="A1" s="66" t="str">
        <x:v>测试使用说明</x:v>
      </x:c>
      <x:c r="B1" s="67"/>
      <x:c r="C1" s="67"/>
      <x:c r="D1" s="67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67"/>
      <x:c r="B2" s="67"/>
      <x:c r="C2" s="67"/>
      <x:c r="D2" s="67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68" t="str">
        <x:v>步骤</x:v>
      </x:c>
      <x:c r="B3" s="68" t="str">
        <x:v>操作</x:v>
      </x:c>
      <x:c r="C3" s="67"/>
      <x:c r="D3" s="67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69" t="n">
        <x:v>1</x:v>
      </x:c>
      <x:c r="B4" s="70" t="str">
        <x:v>按案例编号准备图片，并使用表内建议文件名保存。</x:v>
      </x:c>
      <x:c r="C4" s="67"/>
      <x:c r="D4" s="67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34" customHeight="1">
      <x:c r="A5" s="71" t="n">
        <x:v>2</x:v>
      </x:c>
      <x:c r="B5" s="72" t="str">
        <x:v>确认图片来源和授权状态。没有授权的人脸照片不得放入公开仓库或PPT。</x:v>
      </x:c>
      <x:c r="C5" s="67"/>
      <x:c r="D5" s="67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34" customHeight="1">
      <x:c r="A6" s="71" t="n">
        <x:v>3</x:v>
      </x:c>
      <x:c r="B6" s="72" t="str">
        <x:v>每张图片使用相同模型、相同提示词和相同版本测试。</x:v>
      </x:c>
      <x:c r="C6" s="67"/>
      <x:c r="D6" s="67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34" customHeight="1">
      <x:c r="A7" s="71" t="n">
        <x:v>4</x:v>
      </x:c>
      <x:c r="B7" s="72" t="str">
        <x:v>完整复制模型判断、方位、拒判原因和语音指引，不要人工改写结果。</x:v>
      </x:c>
      <x:c r="C7" s="67"/>
      <x:c r="D7" s="67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34" customHeight="1">
      <x:c r="A8" s="71" t="n">
        <x:v>5</x:v>
      </x:c>
      <x:c r="B8" s="72" t="str">
        <x:v>记录测试时间与响应耗时。公式会自动计算判断、方位、拒判和总结果。</x:v>
      </x:c>
      <x:c r="C8" s="67"/>
      <x:c r="D8" s="67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34" customHeight="1">
      <x:c r="A9" s="73" t="n">
        <x:v>6</x:v>
      </x:c>
      <x:c r="B9" s="74" t="str">
        <x:v>在PPT中报告样本量和失败案例；不要把本表的小样本结果表述为总体准确率。</x:v>
      </x:c>
      <x:c r="C9" s="67"/>
      <x:c r="D9" s="67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67"/>
      <x:c r="B10" s="67"/>
      <x:c r="C10" s="67"/>
      <x:c r="D10" s="67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68" t="str">
        <x:v>字段</x:v>
      </x:c>
      <x:c r="B11" s="68" t="str">
        <x:v>统一口径</x:v>
      </x:c>
      <x:c r="C11" s="68" t="str">
        <x:v>合格示例</x:v>
      </x:c>
      <x:c r="D11" s="68" t="str">
        <x:v>不合格示例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4" customHeight="1">
      <x:c r="A12" s="69" t="str">
        <x:v>左右方位</x:v>
      </x:c>
      <x:c r="B12" s="70" t="str">
        <x:v>始终使用用户自己的左右，不使用画面左右。</x:v>
      </x:c>
      <x:c r="C12" s="70" t="str">
        <x:v>你自己的左侧嘴角</x:v>
      </x:c>
      <x:c r="D12" s="70" t="str">
        <x:v>画面左边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4" customHeight="1">
      <x:c r="A13" s="71" t="str">
        <x:v>清晰正常</x:v>
      </x:c>
      <x:c r="B13" s="72" t="str">
        <x:v>嘴唇轮廓和左右嘴角均可见。</x:v>
      </x:c>
      <x:c r="C13" s="72" t="str">
        <x:v>未见明显外溢</x:v>
      </x:c>
      <x:c r="D13" s="72" t="str">
        <x:v>看起来差不多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4" customHeight="1">
      <x:c r="A14" s="71" t="str">
        <x:v>外溢</x:v>
      </x:c>
      <x:c r="B14" s="72" t="str">
        <x:v>只有图像足够完整时才判断。</x:v>
      </x:c>
      <x:c r="C14" s="72" t="str">
        <x:v>检测到外溢；用户右侧</x:v>
      </x:c>
      <x:c r="D14" s="72" t="str">
        <x:v>右边有点问题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4" customHeight="1">
      <x:c r="A15" s="71" t="str">
        <x:v>画面模糊</x:v>
      </x:c>
      <x:c r="B15" s="72" t="str">
        <x:v>不能辨认唇线时必须拒判。</x:v>
      </x:c>
      <x:c r="C15" s="72" t="str">
        <x:v>无法判断；画面模糊</x:v>
      </x:c>
      <x:c r="D15" s="72" t="str">
        <x:v>未见明显外溢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4" customHeight="1">
      <x:c r="A16" s="71" t="str">
        <x:v>光线不足</x:v>
      </x:c>
      <x:c r="B16" s="72" t="str">
        <x:v>唇线或嘴角不可辨时必须拒判。</x:v>
      </x:c>
      <x:c r="C16" s="72" t="str">
        <x:v>无法判断；光线不足</x:v>
      </x:c>
      <x:c r="D16" s="72" t="str">
        <x:v>可能没有外溢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4" customHeight="1">
      <x:c r="A17" s="73" t="str">
        <x:v>嘴部遮挡</x:v>
      </x:c>
      <x:c r="B17" s="74" t="str">
        <x:v>任一嘴角或主要唇线被遮挡时必须拒判。</x:v>
      </x:c>
      <x:c r="C17" s="74" t="str">
        <x:v>无法判断；嘴部遮挡</x:v>
      </x:c>
      <x:c r="D17" s="74" t="str">
        <x:v>未见明显外溢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67"/>
      <x:c r="B18" s="67"/>
      <x:c r="C18" s="67"/>
      <x:c r="D18" s="67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54" customHeight="1">
      <x:c r="A19" s="86" t="str">
        <x:v>本次结果说明：登录后的部署页明确标注“演示模式，尚未接入视觉识别”。表中数据用于评估当前预设流程覆盖，不能用作Gemini准确率、真实图片识别或用户测试结果。</x:v>
      </x:c>
      <x:c r="B19" s="86"/>
      <x:c r="C19" s="86"/>
      <x:c r="D19" s="86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67"/>
      <x:c r="B20" s="67"/>
      <x:c r="C20" s="67"/>
      <x:c r="D20" s="67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</x:sheetData>
  <x:mergeCells>
    <x:mergeCell ref="A19:D19"/>
  </x:mergeCells>
  <x:pageMargins left="0.7" right="0.7" top="0.75" bottom="0.75" header="0.3" footer="0.3"/>
</x:worksheet>
</file>